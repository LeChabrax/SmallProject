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0" yWindow="-16320" windowWidth="29040" windowHeight="15720" tabRatio="600" firstSheet="4" activeTab="4" autoFilterDateGrouping="1"/>
  </bookViews>
  <sheets>
    <sheet xmlns:r="http://schemas.openxmlformats.org/officeDocument/2006/relationships" name="Benchmark détaillé" sheetId="1" state="visible" r:id="rId1"/>
    <sheet xmlns:r="http://schemas.openxmlformats.org/officeDocument/2006/relationships" name="Synthèse prix" sheetId="2" state="visible" r:id="rId2"/>
    <sheet xmlns:r="http://schemas.openxmlformats.org/officeDocument/2006/relationships" name="Discounts par marque" sheetId="3" state="visible" r:id="rId3"/>
    <sheet xmlns:r="http://schemas.openxmlformats.org/officeDocument/2006/relationships" name="Classement €⁄g protéine" sheetId="4" state="visible" r:id="rId4"/>
    <sheet xmlns:r="http://schemas.openxmlformats.org/officeDocument/2006/relationships" name="Pricing Whey Concentrate" sheetId="5" state="visible" r:id="rId5"/>
    <sheet xmlns:r="http://schemas.openxmlformats.org/officeDocument/2006/relationships" name="Pricing Whey Isolate" sheetId="6" state="visible" r:id="rId6"/>
    <sheet xmlns:r="http://schemas.openxmlformats.org/officeDocument/2006/relationships" name="Pricing Whey Recovery" sheetId="7" state="visible" r:id="rId7"/>
    <sheet xmlns:r="http://schemas.openxmlformats.org/officeDocument/2006/relationships" name="Data" sheetId="8" state="visible" r:id="rId8"/>
  </sheets>
  <definedNames/>
  <calcPr calcId="191029" fullCalcOnLoad="1"/>
</workbook>
</file>

<file path=xl/styles.xml><?xml version="1.0" encoding="utf-8"?>
<styleSheet xmlns="http://schemas.openxmlformats.org/spreadsheetml/2006/main">
  <numFmts count="8">
    <numFmt numFmtId="164" formatCode="0.00&quot; €&quot;"/>
    <numFmt numFmtId="165" formatCode="0.0000&quot; €&quot;"/>
    <numFmt numFmtId="166" formatCode="0&quot;%&quot;"/>
    <numFmt numFmtId="167" formatCode="#,##0.00\ \€"/>
    <numFmt numFmtId="168" formatCode="0.0%"/>
    <numFmt numFmtId="169" formatCode="\+0.0%;\-0.0%"/>
    <numFmt numFmtId="170" formatCode="#,##0.00\ &quot;€&quot;;[Red]\-#,##0.00\ &quot;€&quot;"/>
    <numFmt numFmtId="171" formatCode="\+0.0%"/>
  </numFmts>
  <fonts count="32">
    <font>
      <name val="Calibri"/>
      <family val="2"/>
      <color theme="1"/>
      <sz val="11"/>
      <scheme val="minor"/>
    </font>
    <font>
      <name val="Calibri"/>
      <b val="1"/>
      <color rgb="FFFFFFFF"/>
      <sz val="11"/>
    </font>
    <font>
      <name val="Calibri"/>
      <b val="1"/>
      <sz val="11"/>
    </font>
    <font>
      <name val="Calibri"/>
      <b val="1"/>
      <color rgb="FFFFFFFF"/>
      <sz val="12"/>
    </font>
    <font>
      <name val="Calibri"/>
      <i val="1"/>
      <color rgb="FF1F3864"/>
      <sz val="11"/>
    </font>
    <font>
      <name val="Calibri"/>
      <i val="1"/>
      <color rgb="FF666666"/>
      <sz val="11"/>
    </font>
    <font>
      <name val="Calibri"/>
      <family val="2"/>
      <color theme="10"/>
      <sz val="11"/>
      <u val="single"/>
      <scheme val="minor"/>
    </font>
    <font>
      <name val="Calibri"/>
      <family val="2"/>
      <b val="1"/>
      <color theme="1"/>
      <sz val="11"/>
      <scheme val="minor"/>
    </font>
    <font>
      <name val="Calibri"/>
      <family val="2"/>
      <b val="1"/>
      <color rgb="FF1F4E79"/>
      <sz val="14"/>
      <scheme val="minor"/>
    </font>
    <font>
      <name val="Calibri"/>
      <family val="2"/>
      <i val="1"/>
      <color rgb="FF1F4E79"/>
      <sz val="11"/>
      <scheme val="minor"/>
    </font>
    <font>
      <name val="Calibri"/>
      <family val="2"/>
      <b val="1"/>
      <color rgb="FFFFFFFF"/>
      <sz val="11"/>
      <scheme val="minor"/>
    </font>
    <font>
      <name val="Calibri"/>
      <family val="2"/>
      <color rgb="FF0000FF"/>
      <sz val="11"/>
      <scheme val="minor"/>
    </font>
    <font>
      <name val="Calibri"/>
      <family val="2"/>
      <b val="1"/>
      <color rgb="FF0000FF"/>
      <sz val="11"/>
      <scheme val="minor"/>
    </font>
    <font>
      <name val="Tahoma"/>
      <charset val="1"/>
      <color indexed="81"/>
      <sz val="9"/>
    </font>
    <font>
      <name val="Tahoma"/>
      <charset val="1"/>
      <b val="1"/>
      <color indexed="81"/>
      <sz val="9"/>
    </font>
    <font>
      <name val="Calibri"/>
      <family val="2"/>
      <b val="1"/>
      <color rgb="FFFFFFFF"/>
      <sz val="12"/>
      <scheme val="minor"/>
    </font>
    <font>
      <name val="Calibri"/>
      <family val="2"/>
      <b val="1"/>
      <color rgb="FF006100"/>
      <sz val="11"/>
      <scheme val="minor"/>
    </font>
    <font>
      <name val="Calibri"/>
      <family val="2"/>
      <b val="1"/>
      <color rgb="FF006100"/>
      <sz val="14"/>
      <scheme val="minor"/>
    </font>
    <font>
      <name val="Calibri"/>
      <family val="2"/>
      <b val="1"/>
      <color rgb="FF9C0006"/>
      <sz val="11"/>
      <scheme val="minor"/>
    </font>
    <font>
      <name val="Calibri"/>
      <family val="2"/>
      <b val="1"/>
      <color rgb="FF9C0006"/>
      <sz val="14"/>
      <scheme val="minor"/>
    </font>
    <font>
      <name val="Calibri"/>
      <family val="2"/>
      <b val="1"/>
      <color rgb="FF1F4E79"/>
      <sz val="11"/>
      <scheme val="minor"/>
    </font>
    <font>
      <name val="Calibri"/>
      <family val="2"/>
      <b val="1"/>
      <color rgb="FFC00000"/>
      <sz val="11"/>
      <scheme val="minor"/>
    </font>
    <font>
      <name val="Arial"/>
      <family val="2"/>
      <b val="1"/>
      <color rgb="FF005555"/>
      <sz val="8"/>
    </font>
    <font>
      <name val="Arial"/>
      <family val="2"/>
      <b val="1"/>
      <color rgb="FFF08372"/>
      <sz val="8"/>
    </font>
    <font>
      <name val="Arial"/>
      <family val="2"/>
      <b val="1"/>
      <i val="1"/>
      <color rgb="FFF08372"/>
      <sz val="8"/>
    </font>
    <font>
      <name val="Arial"/>
      <family val="2"/>
      <color rgb="FF000000"/>
      <sz val="8"/>
    </font>
    <font>
      <b val="1"/>
      <color rgb="00FFFFFF"/>
      <sz val="11"/>
    </font>
    <font>
      <b val="1"/>
      <sz val="10"/>
    </font>
    <font>
      <i val="1"/>
      <color rgb="001F3864"/>
      <sz val="10"/>
    </font>
    <font>
      <b val="1"/>
      <color rgb="00FFFFFF"/>
      <sz val="12"/>
    </font>
    <font>
      <b val="1"/>
      <color rgb="00C00000"/>
      <sz val="11"/>
    </font>
    <font>
      <b val="1"/>
      <color rgb="00C00000"/>
      <sz val="12"/>
    </font>
  </fonts>
  <fills count="25">
    <fill>
      <patternFill/>
    </fill>
    <fill>
      <patternFill patternType="gray125"/>
    </fill>
    <fill>
      <patternFill patternType="solid">
        <fgColor rgb="FF4472C4"/>
        <bgColor rgb="FF4472C4"/>
      </patternFill>
    </fill>
    <fill>
      <patternFill patternType="solid">
        <fgColor rgb="FF1F3864"/>
        <bgColor rgb="FF1F3864"/>
      </patternFill>
    </fill>
    <fill>
      <patternFill patternType="solid">
        <fgColor rgb="FFC00000"/>
        <bgColor rgb="FFC00000"/>
      </patternFill>
    </fill>
    <fill>
      <patternFill patternType="solid">
        <fgColor rgb="FFD9E1F2"/>
        <bgColor rgb="FFD9E1F2"/>
      </patternFill>
    </fill>
    <fill>
      <patternFill patternType="solid">
        <fgColor rgb="FFFFF2CC"/>
        <bgColor rgb="FFFFF2CC"/>
      </patternFill>
    </fill>
    <fill>
      <patternFill patternType="solid">
        <fgColor rgb="FFE8F0FE"/>
        <bgColor rgb="FFE8F0FE"/>
      </patternFill>
    </fill>
    <fill>
      <patternFill patternType="solid">
        <fgColor rgb="FFD6E4F0"/>
        <bgColor indexed="64"/>
      </patternFill>
    </fill>
    <fill>
      <patternFill patternType="solid">
        <fgColor rgb="FF1F4E79"/>
        <bgColor indexed="64"/>
      </patternFill>
    </fill>
    <fill>
      <patternFill patternType="solid">
        <fgColor rgb="FFFFF2CC"/>
        <bgColor indexed="64"/>
      </patternFill>
    </fill>
    <fill>
      <patternFill patternType="solid">
        <fgColor rgb="FFFFFF00"/>
        <bgColor indexed="64"/>
      </patternFill>
    </fill>
    <fill>
      <patternFill patternType="solid">
        <fgColor rgb="FFC6EFCE"/>
        <bgColor indexed="64"/>
      </patternFill>
    </fill>
    <fill>
      <patternFill patternType="solid">
        <fgColor rgb="FFBDD7EE"/>
        <bgColor indexed="64"/>
      </patternFill>
    </fill>
    <fill>
      <patternFill patternType="solid">
        <fgColor rgb="FFFFC7CE"/>
        <bgColor indexed="64"/>
      </patternFill>
    </fill>
    <fill>
      <patternFill patternType="solid">
        <fgColor rgb="FF548235"/>
        <bgColor indexed="64"/>
      </patternFill>
    </fill>
    <fill>
      <patternFill patternType="solid">
        <fgColor rgb="FFF2F2F2"/>
        <bgColor indexed="64"/>
      </patternFill>
    </fill>
    <fill>
      <patternFill patternType="solid">
        <fgColor rgb="FF2E75B6"/>
        <bgColor indexed="64"/>
      </patternFill>
    </fill>
    <fill>
      <patternFill patternType="solid">
        <fgColor rgb="FFC00000"/>
        <bgColor indexed="64"/>
      </patternFill>
    </fill>
    <fill>
      <patternFill patternType="solid">
        <fgColor rgb="FFCCF2ED"/>
        <bgColor rgb="FF000000"/>
      </patternFill>
    </fill>
    <fill>
      <patternFill patternType="solid">
        <fgColor rgb="FF006100"/>
        <bgColor indexed="64"/>
      </patternFill>
    </fill>
    <fill>
      <patternFill patternType="solid">
        <fgColor rgb="001F3864"/>
        <bgColor rgb="001F3864"/>
      </patternFill>
    </fill>
    <fill>
      <patternFill patternType="solid">
        <fgColor rgb="00D9E1F2"/>
        <bgColor rgb="00D9E1F2"/>
      </patternFill>
    </fill>
    <fill>
      <patternFill patternType="solid">
        <fgColor rgb="00E8F0FE"/>
        <bgColor rgb="00E8F0FE"/>
      </patternFill>
    </fill>
    <fill>
      <patternFill patternType="solid">
        <fgColor rgb="00FFF2CC"/>
        <bgColor rgb="00FFF2CC"/>
      </patternFill>
    </fill>
  </fills>
  <borders count="39">
    <border>
      <left/>
      <right/>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medium">
        <color auto="1"/>
      </top>
      <bottom/>
      <diagonal/>
    </border>
    <border>
      <left/>
      <right style="thin">
        <color rgb="FFA6A6A6"/>
      </right>
      <top style="medium">
        <color auto="1"/>
      </top>
      <bottom style="thin">
        <color rgb="FFA6A6A6"/>
      </bottom>
      <diagonal/>
    </border>
    <border>
      <left style="thin">
        <color rgb="FFA6A6A6"/>
      </left>
      <right style="thin">
        <color rgb="FFA6A6A6"/>
      </right>
      <top style="medium">
        <color auto="1"/>
      </top>
      <bottom style="thin">
        <color rgb="FFA6A6A6"/>
      </bottom>
      <diagonal/>
    </border>
    <border>
      <left style="thin">
        <color rgb="FFA6A6A6"/>
      </left>
      <right/>
      <top style="medium">
        <color auto="1"/>
      </top>
      <bottom style="thin">
        <color rgb="FFA6A6A6"/>
      </bottom>
      <diagonal/>
    </border>
    <border>
      <left/>
      <right style="thin">
        <color rgb="FFA6A6A6"/>
      </right>
      <top style="thin">
        <color rgb="FFA6A6A6"/>
      </top>
      <bottom style="medium">
        <color auto="1"/>
      </bottom>
      <diagonal/>
    </border>
    <border>
      <left style="thin">
        <color rgb="FFA6A6A6"/>
      </left>
      <right style="thin">
        <color rgb="FFA6A6A6"/>
      </right>
      <top style="thin">
        <color rgb="FFA6A6A6"/>
      </top>
      <bottom style="medium">
        <color auto="1"/>
      </bottom>
      <diagonal/>
    </border>
    <border>
      <left style="thin">
        <color rgb="FFA6A6A6"/>
      </left>
      <right/>
      <top style="thin">
        <color rgb="FFA6A6A6"/>
      </top>
      <bottom style="medium">
        <color auto="1"/>
      </bottom>
      <diagonal/>
    </border>
    <border>
      <left style="medium">
        <color auto="1"/>
      </left>
      <right style="thin">
        <color rgb="FFA6A6A6"/>
      </right>
      <top style="medium">
        <color auto="1"/>
      </top>
      <bottom style="thin">
        <color rgb="FFA6A6A6"/>
      </bottom>
      <diagonal/>
    </border>
    <border>
      <left style="medium">
        <color auto="1"/>
      </left>
      <right style="thin">
        <color rgb="FFA6A6A6"/>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1F4E79"/>
      </left>
      <right style="thin">
        <color rgb="FFA6A6A6"/>
      </right>
      <top style="medium">
        <color auto="1"/>
      </top>
      <bottom style="thin">
        <color rgb="FFA6A6A6"/>
      </bottom>
      <diagonal/>
    </border>
    <border>
      <left style="medium">
        <color rgb="FF1F4E79"/>
      </left>
      <right style="thin">
        <color rgb="FFA6A6A6"/>
      </right>
      <top style="thin">
        <color rgb="FFA6A6A6"/>
      </top>
      <bottom style="thin">
        <color rgb="FFA6A6A6"/>
      </bottom>
      <diagonal/>
    </border>
    <border>
      <left style="medium">
        <color rgb="FF1F4E79"/>
      </left>
      <right style="thin">
        <color rgb="FFA6A6A6"/>
      </right>
      <top style="thin">
        <color rgb="FFA6A6A6"/>
      </top>
      <bottom style="medium">
        <color auto="1"/>
      </bottom>
      <diagonal/>
    </border>
    <border>
      <left/>
      <right style="medium">
        <color auto="1"/>
      </right>
      <top style="medium">
        <color auto="1"/>
      </top>
      <bottom style="thin">
        <color rgb="FFA6A6A6"/>
      </bottom>
      <diagonal/>
    </border>
    <border>
      <left/>
      <right style="medium">
        <color auto="1"/>
      </right>
      <top style="thin">
        <color rgb="FFA6A6A6"/>
      </top>
      <bottom style="thin">
        <color rgb="FFA6A6A6"/>
      </bottom>
      <diagonal/>
    </border>
    <border>
      <left/>
      <right style="medium">
        <color auto="1"/>
      </right>
      <top style="thin">
        <color rgb="FFA6A6A6"/>
      </top>
      <bottom style="medium">
        <color auto="1"/>
      </bottom>
      <diagonal/>
    </border>
    <border>
      <left style="medium">
        <color rgb="FF548235"/>
      </left>
      <right style="thin">
        <color rgb="FFA6A6A6"/>
      </right>
      <top style="medium">
        <color auto="1"/>
      </top>
      <bottom style="thin">
        <color rgb="FFA6A6A6"/>
      </bottom>
      <diagonal/>
    </border>
    <border>
      <left style="medium">
        <color rgb="FF548235"/>
      </left>
      <right style="thin">
        <color rgb="FFA6A6A6"/>
      </right>
      <top style="thin">
        <color rgb="FFA6A6A6"/>
      </top>
      <bottom style="thin">
        <color rgb="FFA6A6A6"/>
      </bottom>
      <diagonal/>
    </border>
    <border>
      <left style="medium">
        <color rgb="FF548235"/>
      </left>
      <right style="thin">
        <color rgb="FFA6A6A6"/>
      </right>
      <top style="thin">
        <color rgb="FFA6A6A6"/>
      </top>
      <bottom style="medium">
        <color auto="1"/>
      </bottom>
      <diagonal/>
    </border>
    <border>
      <left/>
      <right/>
      <top style="thin">
        <color rgb="FF005555"/>
      </top>
      <bottom/>
      <diagonal/>
    </border>
    <border>
      <left/>
      <right/>
      <top/>
      <bottom style="thin">
        <color rgb="FF005555"/>
      </bottom>
      <diagonal/>
    </border>
    <border>
      <left style="medium">
        <color rgb="FF2E75B6"/>
      </left>
      <right style="thin">
        <color rgb="FFA6A6A6"/>
      </right>
      <top style="medium">
        <color auto="1"/>
      </top>
      <bottom style="thin">
        <color rgb="FFA6A6A6"/>
      </bottom>
      <diagonal/>
    </border>
    <border>
      <left style="medium">
        <color rgb="FF2E75B6"/>
      </left>
      <right style="thin">
        <color rgb="FFA6A6A6"/>
      </right>
      <top style="thin">
        <color rgb="FFA6A6A6"/>
      </top>
      <bottom style="thin">
        <color rgb="FFA6A6A6"/>
      </bottom>
      <diagonal/>
    </border>
    <border>
      <left style="medium">
        <color rgb="FF2E75B6"/>
      </left>
      <right style="thin">
        <color rgb="FFA6A6A6"/>
      </right>
      <top style="thin">
        <color rgb="FFA6A6A6"/>
      </top>
      <bottom style="medium">
        <color auto="1"/>
      </bottom>
      <diagonal/>
    </border>
    <border>
      <left/>
      <right/>
      <top style="medium">
        <color auto="1"/>
      </top>
      <bottom style="thin">
        <color rgb="FFA6A6A6"/>
      </bottom>
      <diagonal/>
    </border>
    <border>
      <left/>
      <right/>
      <top style="thin">
        <color rgb="FFA6A6A6"/>
      </top>
      <bottom style="medium">
        <color auto="1"/>
      </bottom>
      <diagonal/>
    </border>
    <border>
      <left/>
      <right/>
      <top style="thin">
        <color rgb="FF005555"/>
      </top>
      <bottom style="thin">
        <color rgb="FF005555"/>
      </bottom>
      <diagonal/>
    </border>
  </borders>
  <cellStyleXfs count="2">
    <xf numFmtId="0" fontId="0" fillId="0" borderId="0"/>
    <xf numFmtId="0" fontId="6" fillId="0" borderId="0"/>
  </cellStyleXfs>
  <cellXfs count="196">
    <xf numFmtId="0" fontId="0" fillId="0" borderId="0" pivotButton="0" quotePrefix="0" xfId="0"/>
    <xf numFmtId="0" fontId="1" fillId="3" borderId="0" pivotButton="0" quotePrefix="0" xfId="0"/>
    <xf numFmtId="0" fontId="1" fillId="4" borderId="0" applyAlignment="1" pivotButton="0" quotePrefix="0" xfId="0">
      <alignment horizontal="center" vertical="center"/>
    </xf>
    <xf numFmtId="0" fontId="1" fillId="3" borderId="0" applyAlignment="1" pivotButton="0" quotePrefix="0" xfId="0">
      <alignment horizontal="center" vertical="center"/>
    </xf>
    <xf numFmtId="0" fontId="2" fillId="5" borderId="0" pivotButton="0" quotePrefix="0" xfId="0"/>
    <xf numFmtId="0" fontId="2" fillId="6"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pivotButton="0" quotePrefix="0" xfId="0"/>
    <xf numFmtId="0" fontId="0" fillId="2" borderId="0" pivotButton="0" quotePrefix="0" xfId="0"/>
    <xf numFmtId="0" fontId="0" fillId="6" borderId="0" applyAlignment="1" pivotButton="0" quotePrefix="0" xfId="0">
      <alignment horizontal="left" vertical="center" wrapText="1"/>
    </xf>
    <xf numFmtId="0" fontId="0" fillId="0" borderId="0" applyAlignment="1" pivotButton="0" quotePrefix="0" xfId="0">
      <alignment horizontal="left" vertical="center" wrapText="1"/>
    </xf>
    <xf numFmtId="0" fontId="4" fillId="6" borderId="0" pivotButton="0" quotePrefix="0" xfId="0"/>
    <xf numFmtId="0" fontId="4" fillId="7" borderId="0" pivotButton="0" quotePrefix="0" xfId="0"/>
    <xf numFmtId="164" fontId="4" fillId="6" borderId="0" pivotButton="0" quotePrefix="0" xfId="0"/>
    <xf numFmtId="164" fontId="4" fillId="7" borderId="0" pivotButton="0" quotePrefix="0" xfId="0"/>
    <xf numFmtId="165" fontId="4" fillId="6" borderId="0" pivotButton="0" quotePrefix="0" xfId="0"/>
    <xf numFmtId="165" fontId="4" fillId="7" borderId="0" pivotButton="0" quotePrefix="0" xfId="0"/>
    <xf numFmtId="166" fontId="4" fillId="6" borderId="0" pivotButton="0" quotePrefix="0" xfId="0"/>
    <xf numFmtId="166" fontId="4" fillId="7" borderId="0" pivotButton="0" quotePrefix="0" xfId="0"/>
    <xf numFmtId="0" fontId="1" fillId="2" borderId="0" applyAlignment="1" pivotButton="0" quotePrefix="0" xfId="0">
      <alignment horizontal="center" vertical="center"/>
    </xf>
    <xf numFmtId="0" fontId="0" fillId="6" borderId="0" pivotButton="0" quotePrefix="0" xfId="0"/>
    <xf numFmtId="0" fontId="1" fillId="2" borderId="0" pivotButton="0" quotePrefix="0" xfId="0"/>
    <xf numFmtId="0" fontId="6" fillId="0" borderId="0" pivotButton="0" quotePrefix="0" xfId="1"/>
    <xf numFmtId="0" fontId="5" fillId="0" borderId="0" pivotButton="0" quotePrefix="0" xfId="0"/>
    <xf numFmtId="0" fontId="0" fillId="0" borderId="0" pivotButton="0" quotePrefix="0" xfId="0"/>
    <xf numFmtId="0" fontId="8" fillId="8" borderId="0" pivotButton="0" quotePrefix="0" xfId="0"/>
    <xf numFmtId="0" fontId="9" fillId="8" borderId="0" pivotButton="0" quotePrefix="0" xfId="0"/>
    <xf numFmtId="0" fontId="10" fillId="9" borderId="0" pivotButton="0" quotePrefix="0" xfId="0"/>
    <xf numFmtId="0" fontId="0" fillId="9" borderId="0" pivotButton="0" quotePrefix="0" xfId="0"/>
    <xf numFmtId="0" fontId="7" fillId="0" borderId="0" pivotButton="0" quotePrefix="0" xfId="0"/>
    <xf numFmtId="167" fontId="12" fillId="0" borderId="0" pivotButton="0" quotePrefix="0" xfId="0"/>
    <xf numFmtId="168" fontId="0" fillId="0" borderId="0" pivotButton="0" quotePrefix="0" xfId="0"/>
    <xf numFmtId="167" fontId="0" fillId="0" borderId="0" pivotButton="0" quotePrefix="0" xfId="0"/>
    <xf numFmtId="167" fontId="7" fillId="10" borderId="0" pivotButton="0" quotePrefix="0" xfId="0"/>
    <xf numFmtId="0" fontId="0" fillId="8" borderId="0" pivotButton="0" quotePrefix="0" xfId="0"/>
    <xf numFmtId="0" fontId="0" fillId="0" borderId="0" applyAlignment="1" pivotButton="0" quotePrefix="0" xfId="0">
      <alignment wrapText="1"/>
    </xf>
    <xf numFmtId="0" fontId="10" fillId="9" borderId="0" applyAlignment="1" pivotButton="0" quotePrefix="0" xfId="0">
      <alignment horizontal="center" wrapText="1"/>
    </xf>
    <xf numFmtId="167" fontId="12" fillId="0" borderId="0" applyAlignment="1" pivotButton="0" quotePrefix="0" xfId="0">
      <alignment horizontal="center"/>
    </xf>
    <xf numFmtId="167" fontId="0" fillId="0" borderId="0" applyAlignment="1" pivotButton="0" quotePrefix="0" xfId="0">
      <alignment horizontal="center"/>
    </xf>
    <xf numFmtId="168" fontId="0" fillId="0" borderId="0" applyAlignment="1" pivotButton="0" quotePrefix="0" xfId="0">
      <alignment horizontal="center"/>
    </xf>
    <xf numFmtId="169" fontId="0" fillId="0" borderId="0" applyAlignment="1" pivotButton="0" quotePrefix="0" xfId="0">
      <alignment horizontal="center"/>
    </xf>
    <xf numFmtId="0" fontId="7" fillId="0" borderId="0" applyAlignment="1" pivotButton="0" quotePrefix="0" xfId="0">
      <alignment horizontal="center"/>
    </xf>
    <xf numFmtId="169" fontId="0" fillId="0" borderId="1" applyAlignment="1" pivotButton="0" quotePrefix="0" xfId="0">
      <alignment horizontal="center"/>
    </xf>
    <xf numFmtId="167" fontId="0" fillId="0" borderId="3" applyAlignment="1" pivotButton="0" quotePrefix="0" xfId="0">
      <alignment horizontal="center"/>
    </xf>
    <xf numFmtId="168" fontId="0" fillId="0" borderId="3" applyAlignment="1" pivotButton="0" quotePrefix="0" xfId="0">
      <alignment horizontal="center"/>
    </xf>
    <xf numFmtId="167" fontId="12" fillId="0" borderId="3" applyAlignment="1" pivotButton="0" quotePrefix="0" xfId="0">
      <alignment horizontal="center"/>
    </xf>
    <xf numFmtId="167" fontId="12" fillId="11" borderId="3" applyAlignment="1" pivotButton="0" quotePrefix="0" xfId="0">
      <alignment horizontal="center"/>
    </xf>
    <xf numFmtId="0" fontId="10" fillId="9" borderId="7" applyAlignment="1" pivotButton="0" quotePrefix="0" xfId="0">
      <alignment horizontal="center" wrapText="1"/>
    </xf>
    <xf numFmtId="0" fontId="10" fillId="9" borderId="8" applyAlignment="1" pivotButton="0" quotePrefix="0" xfId="0">
      <alignment horizontal="center" wrapText="1"/>
    </xf>
    <xf numFmtId="167" fontId="12" fillId="0" borderId="10" applyAlignment="1" pivotButton="0" quotePrefix="0" xfId="0">
      <alignment horizontal="center"/>
    </xf>
    <xf numFmtId="0" fontId="15" fillId="9" borderId="0" pivotButton="0" quotePrefix="0" xfId="0"/>
    <xf numFmtId="0" fontId="15" fillId="15" borderId="0" pivotButton="0" quotePrefix="0" xfId="0"/>
    <xf numFmtId="0" fontId="0" fillId="15" borderId="0" pivotButton="0" quotePrefix="0" xfId="0"/>
    <xf numFmtId="0" fontId="8" fillId="8" borderId="0" pivotButton="0" quotePrefix="0" xfId="0"/>
    <xf numFmtId="0" fontId="9" fillId="8" borderId="0" pivotButton="0" quotePrefix="0" xfId="0"/>
    <xf numFmtId="0" fontId="7" fillId="0" borderId="0" pivotButton="0" quotePrefix="0" xfId="0"/>
    <xf numFmtId="0" fontId="0" fillId="0" borderId="15" pivotButton="0" quotePrefix="0" xfId="0"/>
    <xf numFmtId="0" fontId="10" fillId="9" borderId="16" pivotButton="0" quotePrefix="0" xfId="0"/>
    <xf numFmtId="0" fontId="7" fillId="0" borderId="17" pivotButton="0" quotePrefix="0" xfId="0"/>
    <xf numFmtId="0" fontId="0" fillId="0" borderId="17" pivotButton="0" quotePrefix="0" xfId="0"/>
    <xf numFmtId="0" fontId="10" fillId="9" borderId="17" pivotButton="0" quotePrefix="0" xfId="0"/>
    <xf numFmtId="0" fontId="0" fillId="0" borderId="18" pivotButton="0" quotePrefix="0" xfId="0"/>
    <xf numFmtId="0" fontId="0" fillId="9" borderId="19" pivotButton="0" quotePrefix="0" xfId="0"/>
    <xf numFmtId="167" fontId="12" fillId="0" borderId="20" pivotButton="0" quotePrefix="0" xfId="0"/>
    <xf numFmtId="167" fontId="11" fillId="0" borderId="20" pivotButton="0" quotePrefix="0" xfId="0"/>
    <xf numFmtId="168" fontId="0" fillId="0" borderId="20" pivotButton="0" quotePrefix="0" xfId="0"/>
    <xf numFmtId="0" fontId="0" fillId="0" borderId="20" pivotButton="0" quotePrefix="0" xfId="0"/>
    <xf numFmtId="0" fontId="0" fillId="9" borderId="20" pivotButton="0" quotePrefix="0" xfId="0"/>
    <xf numFmtId="167" fontId="0" fillId="0" borderId="20" pivotButton="0" quotePrefix="0" xfId="0"/>
    <xf numFmtId="167" fontId="7" fillId="10" borderId="20" pivotButton="0" quotePrefix="0" xfId="0"/>
    <xf numFmtId="167" fontId="0" fillId="0" borderId="21" pivotButton="0" quotePrefix="0" xfId="0"/>
    <xf numFmtId="167" fontId="17" fillId="0" borderId="0" pivotButton="0" quotePrefix="0" xfId="0"/>
    <xf numFmtId="0" fontId="0" fillId="12" borderId="5" pivotButton="0" quotePrefix="0" xfId="0"/>
    <xf numFmtId="0" fontId="16" fillId="12" borderId="16" pivotButton="0" quotePrefix="0" xfId="0"/>
    <xf numFmtId="0" fontId="7" fillId="0" borderId="18" pivotButton="0" quotePrefix="0" xfId="0"/>
    <xf numFmtId="0" fontId="0" fillId="0" borderId="21" pivotButton="0" quotePrefix="0" xfId="0"/>
    <xf numFmtId="167" fontId="19" fillId="0" borderId="0" pivotButton="0" quotePrefix="0" xfId="0"/>
    <xf numFmtId="0" fontId="0" fillId="14" borderId="5" pivotButton="0" quotePrefix="0" xfId="0"/>
    <xf numFmtId="0" fontId="18" fillId="14" borderId="16" pivotButton="0" quotePrefix="0" xfId="0"/>
    <xf numFmtId="167" fontId="8" fillId="0" borderId="0" pivotButton="0" quotePrefix="0" xfId="0"/>
    <xf numFmtId="0" fontId="0" fillId="13" borderId="5" pivotButton="0" quotePrefix="0" xfId="0"/>
    <xf numFmtId="0" fontId="20" fillId="13" borderId="16" pivotButton="0" quotePrefix="0" xfId="0"/>
    <xf numFmtId="167" fontId="0" fillId="16" borderId="3" applyAlignment="1" pivotButton="0" quotePrefix="0" xfId="0">
      <alignment horizontal="center"/>
    </xf>
    <xf numFmtId="168" fontId="0" fillId="16" borderId="3" applyAlignment="1" pivotButton="0" quotePrefix="0" xfId="0">
      <alignment horizontal="center"/>
    </xf>
    <xf numFmtId="167" fontId="12" fillId="16" borderId="3" applyAlignment="1" pivotButton="0" quotePrefix="0" xfId="0">
      <alignment horizontal="center"/>
    </xf>
    <xf numFmtId="0" fontId="0" fillId="0" borderId="15" applyAlignment="1" pivotButton="0" quotePrefix="0" xfId="0">
      <alignment wrapText="1"/>
    </xf>
    <xf numFmtId="168" fontId="12" fillId="0" borderId="20" pivotButton="0" quotePrefix="0" xfId="0"/>
    <xf numFmtId="0" fontId="10" fillId="9" borderId="0" applyAlignment="1" pivotButton="0" quotePrefix="0" xfId="0">
      <alignment horizontal="center"/>
    </xf>
    <xf numFmtId="0" fontId="10" fillId="15" borderId="0" applyAlignment="1" pivotButton="0" quotePrefix="0" xfId="0">
      <alignment horizontal="center" wrapText="1"/>
    </xf>
    <xf numFmtId="167" fontId="7" fillId="0" borderId="0" applyAlignment="1" pivotButton="0" quotePrefix="0" xfId="0">
      <alignment horizontal="center"/>
    </xf>
    <xf numFmtId="9" fontId="7" fillId="0" borderId="0" applyAlignment="1" pivotButton="0" quotePrefix="0" xfId="0">
      <alignment horizontal="center"/>
    </xf>
    <xf numFmtId="169" fontId="0" fillId="16" borderId="1" applyAlignment="1" pivotButton="0" quotePrefix="0" xfId="0">
      <alignment horizontal="center"/>
    </xf>
    <xf numFmtId="167" fontId="7" fillId="16" borderId="3" applyAlignment="1" pivotButton="0" quotePrefix="0" xfId="0">
      <alignment horizontal="center"/>
    </xf>
    <xf numFmtId="167" fontId="7" fillId="0" borderId="3" applyAlignment="1" pivotButton="0" quotePrefix="0" xfId="0">
      <alignment horizontal="center"/>
    </xf>
    <xf numFmtId="168" fontId="0" fillId="11" borderId="3" applyAlignment="1" pivotButton="0" quotePrefix="0" xfId="0">
      <alignment horizontal="center"/>
    </xf>
    <xf numFmtId="167" fontId="0" fillId="11" borderId="3" applyAlignment="1" pivotButton="0" quotePrefix="0" xfId="0">
      <alignment horizontal="center"/>
    </xf>
    <xf numFmtId="167" fontId="7" fillId="11" borderId="3" applyAlignment="1" pivotButton="0" quotePrefix="0" xfId="0">
      <alignment horizontal="center"/>
    </xf>
    <xf numFmtId="0" fontId="10" fillId="9" borderId="7" applyAlignment="1" pivotButton="0" quotePrefix="0" xfId="0">
      <alignment horizontal="center"/>
    </xf>
    <xf numFmtId="168" fontId="0" fillId="0" borderId="10" applyAlignment="1" pivotButton="0" quotePrefix="0" xfId="0">
      <alignment horizontal="center"/>
    </xf>
    <xf numFmtId="167" fontId="0" fillId="0" borderId="10" applyAlignment="1" pivotButton="0" quotePrefix="0" xfId="0">
      <alignment horizontal="center"/>
    </xf>
    <xf numFmtId="167" fontId="7" fillId="0" borderId="10" applyAlignment="1" pivotButton="0" quotePrefix="0" xfId="0">
      <alignment horizontal="center"/>
    </xf>
    <xf numFmtId="0" fontId="10" fillId="9" borderId="12" applyAlignment="1" pivotButton="0" quotePrefix="0" xfId="0">
      <alignment horizontal="center"/>
    </xf>
    <xf numFmtId="0" fontId="7" fillId="16" borderId="13" applyAlignment="1" pivotButton="0" quotePrefix="0" xfId="0">
      <alignment horizontal="center"/>
    </xf>
    <xf numFmtId="0" fontId="7" fillId="0" borderId="13" applyAlignment="1" pivotButton="0" quotePrefix="0" xfId="0">
      <alignment horizontal="center"/>
    </xf>
    <xf numFmtId="0" fontId="7" fillId="11" borderId="13" applyAlignment="1" pivotButton="0" quotePrefix="0" xfId="0">
      <alignment horizontal="center"/>
    </xf>
    <xf numFmtId="0" fontId="7" fillId="0" borderId="14" applyAlignment="1" pivotButton="0" quotePrefix="0" xfId="0">
      <alignment horizontal="center"/>
    </xf>
    <xf numFmtId="9" fontId="7" fillId="16" borderId="4" applyAlignment="1" pivotButton="0" quotePrefix="0" xfId="0">
      <alignment horizontal="center"/>
    </xf>
    <xf numFmtId="9" fontId="7" fillId="0" borderId="4" applyAlignment="1" pivotButton="0" quotePrefix="0" xfId="0">
      <alignment horizontal="center"/>
    </xf>
    <xf numFmtId="9" fontId="7" fillId="11" borderId="4" applyAlignment="1" pivotButton="0" quotePrefix="0" xfId="0">
      <alignment horizontal="center"/>
    </xf>
    <xf numFmtId="9" fontId="7" fillId="0" borderId="11" applyAlignment="1" pivotButton="0" quotePrefix="0" xfId="0">
      <alignment horizontal="center"/>
    </xf>
    <xf numFmtId="0" fontId="10" fillId="17" borderId="6" applyAlignment="1" pivotButton="0" quotePrefix="0" xfId="0">
      <alignment horizontal="center" wrapText="1"/>
    </xf>
    <xf numFmtId="169" fontId="0" fillId="16" borderId="2" applyAlignment="1" pivotButton="0" quotePrefix="0" xfId="0">
      <alignment horizontal="center"/>
    </xf>
    <xf numFmtId="169" fontId="0" fillId="0" borderId="2" applyAlignment="1" pivotButton="0" quotePrefix="0" xfId="0">
      <alignment horizontal="center"/>
    </xf>
    <xf numFmtId="169" fontId="0" fillId="11" borderId="2" applyAlignment="1" pivotButton="0" quotePrefix="0" xfId="0">
      <alignment horizontal="center"/>
    </xf>
    <xf numFmtId="169" fontId="0" fillId="0" borderId="9" applyAlignment="1" pivotButton="0" quotePrefix="0" xfId="0">
      <alignment horizontal="center"/>
    </xf>
    <xf numFmtId="0" fontId="10" fillId="17" borderId="22" applyAlignment="1" pivotButton="0" quotePrefix="0" xfId="0">
      <alignment horizontal="center" wrapText="1"/>
    </xf>
    <xf numFmtId="169" fontId="0" fillId="16" borderId="23" applyAlignment="1" pivotButton="0" quotePrefix="0" xfId="0">
      <alignment horizontal="center"/>
    </xf>
    <xf numFmtId="169" fontId="0" fillId="0" borderId="23" applyAlignment="1" pivotButton="0" quotePrefix="0" xfId="0">
      <alignment horizontal="center"/>
    </xf>
    <xf numFmtId="169" fontId="0" fillId="11" borderId="23" applyAlignment="1" pivotButton="0" quotePrefix="0" xfId="0">
      <alignment horizontal="center"/>
    </xf>
    <xf numFmtId="169" fontId="0" fillId="0" borderId="24" applyAlignment="1" pivotButton="0" quotePrefix="0" xfId="0">
      <alignment horizontal="center"/>
    </xf>
    <xf numFmtId="0" fontId="10" fillId="17" borderId="8" applyAlignment="1" pivotButton="0" quotePrefix="0" xfId="0">
      <alignment horizontal="center" wrapText="1"/>
    </xf>
    <xf numFmtId="169" fontId="0" fillId="16" borderId="4" applyAlignment="1" pivotButton="0" quotePrefix="0" xfId="0">
      <alignment horizontal="center"/>
    </xf>
    <xf numFmtId="169" fontId="0" fillId="0" borderId="4" applyAlignment="1" pivotButton="0" quotePrefix="0" xfId="0">
      <alignment horizontal="center"/>
    </xf>
    <xf numFmtId="169" fontId="0" fillId="11" borderId="4" applyAlignment="1" pivotButton="0" quotePrefix="0" xfId="0">
      <alignment horizontal="center"/>
    </xf>
    <xf numFmtId="169" fontId="0" fillId="0" borderId="11" applyAlignment="1" pivotButton="0" quotePrefix="0" xfId="0">
      <alignment horizontal="center"/>
    </xf>
    <xf numFmtId="0" fontId="10" fillId="15" borderId="25" applyAlignment="1" pivotButton="0" quotePrefix="0" xfId="0">
      <alignment horizontal="center" wrapText="1"/>
    </xf>
    <xf numFmtId="0" fontId="7" fillId="16" borderId="26" applyAlignment="1" pivotButton="0" quotePrefix="0" xfId="0">
      <alignment horizontal="center"/>
    </xf>
    <xf numFmtId="0" fontId="7" fillId="0" borderId="26" applyAlignment="1" pivotButton="0" quotePrefix="0" xfId="0">
      <alignment horizontal="center"/>
    </xf>
    <xf numFmtId="0" fontId="7" fillId="11" borderId="26" applyAlignment="1" pivotButton="0" quotePrefix="0" xfId="0">
      <alignment horizontal="center"/>
    </xf>
    <xf numFmtId="0" fontId="7" fillId="0" borderId="27" applyAlignment="1" pivotButton="0" quotePrefix="0" xfId="0">
      <alignment horizontal="center"/>
    </xf>
    <xf numFmtId="0" fontId="10" fillId="15" borderId="28" applyAlignment="1" pivotButton="0" quotePrefix="0" xfId="0">
      <alignment horizontal="center" wrapText="1"/>
    </xf>
    <xf numFmtId="0" fontId="7" fillId="16" borderId="29" applyAlignment="1" pivotButton="0" quotePrefix="0" xfId="0">
      <alignment horizontal="center"/>
    </xf>
    <xf numFmtId="0" fontId="7" fillId="0" borderId="29" applyAlignment="1" pivotButton="0" quotePrefix="0" xfId="0">
      <alignment horizontal="center"/>
    </xf>
    <xf numFmtId="0" fontId="7" fillId="11" borderId="29" applyAlignment="1" pivotButton="0" quotePrefix="0" xfId="0">
      <alignment horizontal="center"/>
    </xf>
    <xf numFmtId="0" fontId="7" fillId="0" borderId="30" applyAlignment="1" pivotButton="0" quotePrefix="0" xfId="0">
      <alignment horizontal="center"/>
    </xf>
    <xf numFmtId="0" fontId="18" fillId="14" borderId="0" pivotButton="0" quotePrefix="0" xfId="0"/>
    <xf numFmtId="0" fontId="0" fillId="0" borderId="5" pivotButton="0" quotePrefix="0" xfId="0"/>
    <xf numFmtId="0" fontId="0" fillId="0" borderId="19" pivotButton="0" quotePrefix="0" xfId="0"/>
    <xf numFmtId="9" fontId="17" fillId="0" borderId="20" pivotButton="0" quotePrefix="0" xfId="0"/>
    <xf numFmtId="9" fontId="19" fillId="0" borderId="20" pivotButton="0" quotePrefix="0" xfId="0"/>
    <xf numFmtId="9" fontId="8" fillId="0" borderId="20" pivotButton="0" quotePrefix="0" xfId="0"/>
    <xf numFmtId="0" fontId="10" fillId="18" borderId="0" pivotButton="0" quotePrefix="0" xfId="0"/>
    <xf numFmtId="0" fontId="0" fillId="18" borderId="0" pivotButton="0" quotePrefix="0" xfId="0"/>
    <xf numFmtId="167" fontId="21" fillId="0" borderId="0" pivotButton="0" quotePrefix="0" xfId="0"/>
    <xf numFmtId="0" fontId="23" fillId="19" borderId="31" applyAlignment="1" pivotButton="0" quotePrefix="0" xfId="0">
      <alignment horizontal="center" vertical="center" wrapText="1"/>
    </xf>
    <xf numFmtId="0" fontId="23" fillId="19" borderId="32" applyAlignment="1" pivotButton="0" quotePrefix="0" xfId="0">
      <alignment horizontal="center" vertical="center" wrapText="1"/>
    </xf>
    <xf numFmtId="0" fontId="24" fillId="19" borderId="31" applyAlignment="1" pivotButton="0" quotePrefix="0" xfId="0">
      <alignment horizontal="center" vertical="center" wrapText="1"/>
    </xf>
    <xf numFmtId="0" fontId="24" fillId="19" borderId="32" applyAlignment="1" pivotButton="0" quotePrefix="0" xfId="0">
      <alignment horizontal="center" vertical="center" wrapText="1"/>
    </xf>
    <xf numFmtId="0" fontId="25" fillId="0" borderId="0" applyAlignment="1" pivotButton="0" quotePrefix="0" xfId="0">
      <alignment vertical="center"/>
    </xf>
    <xf numFmtId="170" fontId="25" fillId="19" borderId="0" applyAlignment="1" pivotButton="0" quotePrefix="0" xfId="0">
      <alignment vertical="center"/>
    </xf>
    <xf numFmtId="10" fontId="25" fillId="0" borderId="0" applyAlignment="1" pivotButton="0" quotePrefix="0" xfId="0">
      <alignment vertical="center"/>
    </xf>
    <xf numFmtId="170" fontId="25" fillId="0" borderId="0" applyAlignment="1" pivotButton="0" quotePrefix="0" xfId="0">
      <alignment vertical="center"/>
    </xf>
    <xf numFmtId="9" fontId="25" fillId="0" borderId="0" applyAlignment="1" pivotButton="0" quotePrefix="0" xfId="0">
      <alignment vertical="center"/>
    </xf>
    <xf numFmtId="0" fontId="22" fillId="0" borderId="31" applyAlignment="1" pivotButton="0" quotePrefix="0" xfId="0">
      <alignment horizontal="center" vertical="center"/>
    </xf>
    <xf numFmtId="0" fontId="22" fillId="0" borderId="32" applyAlignment="1" pivotButton="0" quotePrefix="0" xfId="0">
      <alignment horizontal="center" vertical="center"/>
    </xf>
    <xf numFmtId="0" fontId="10" fillId="20" borderId="0" pivotButton="0" quotePrefix="0" xfId="0"/>
    <xf numFmtId="0" fontId="0" fillId="20" borderId="0" pivotButton="0" quotePrefix="0" xfId="0"/>
    <xf numFmtId="167" fontId="17" fillId="12" borderId="0" pivotButton="0" quotePrefix="0" xfId="0"/>
    <xf numFmtId="167" fontId="7" fillId="0" borderId="0" pivotButton="0" quotePrefix="0" xfId="0"/>
    <xf numFmtId="168" fontId="7" fillId="0" borderId="0" pivotButton="0" quotePrefix="0" xfId="0"/>
    <xf numFmtId="0" fontId="20" fillId="8" borderId="0" applyAlignment="1" pivotButton="0" quotePrefix="0" xfId="0">
      <alignment wrapText="1"/>
    </xf>
    <xf numFmtId="167" fontId="16" fillId="12" borderId="0" pivotButton="0" quotePrefix="0" xfId="0"/>
    <xf numFmtId="0" fontId="10" fillId="20" borderId="0" applyAlignment="1" pivotButton="0" quotePrefix="0" xfId="0">
      <alignment horizontal="center" wrapText="1"/>
    </xf>
    <xf numFmtId="0" fontId="10" fillId="15" borderId="0" applyAlignment="1" pivotButton="0" quotePrefix="0" xfId="0">
      <alignment horizontal="center"/>
    </xf>
    <xf numFmtId="0" fontId="10" fillId="17" borderId="33" applyAlignment="1" pivotButton="0" quotePrefix="0" xfId="0">
      <alignment horizontal="center" wrapText="1"/>
    </xf>
    <xf numFmtId="169" fontId="0" fillId="16" borderId="34" applyAlignment="1" pivotButton="0" quotePrefix="0" xfId="0">
      <alignment horizontal="center"/>
    </xf>
    <xf numFmtId="169" fontId="0" fillId="0" borderId="34" applyAlignment="1" pivotButton="0" quotePrefix="0" xfId="0">
      <alignment horizontal="center"/>
    </xf>
    <xf numFmtId="169" fontId="0" fillId="0" borderId="35" applyAlignment="1" pivotButton="0" quotePrefix="0" xfId="0">
      <alignment horizontal="center"/>
    </xf>
    <xf numFmtId="0" fontId="10" fillId="20" borderId="36" applyAlignment="1" pivotButton="0" quotePrefix="0" xfId="0">
      <alignment horizontal="center" wrapText="1"/>
    </xf>
    <xf numFmtId="169" fontId="0" fillId="0" borderId="37" applyAlignment="1" pivotButton="0" quotePrefix="0" xfId="0">
      <alignment horizontal="center"/>
    </xf>
    <xf numFmtId="0" fontId="10" fillId="15" borderId="25" applyAlignment="1" pivotButton="0" quotePrefix="0" xfId="0">
      <alignment horizontal="center"/>
    </xf>
    <xf numFmtId="0" fontId="10" fillId="20" borderId="17" pivotButton="0" quotePrefix="0" xfId="0"/>
    <xf numFmtId="0" fontId="0" fillId="20" borderId="20" pivotButton="0" quotePrefix="0" xfId="0"/>
    <xf numFmtId="167" fontId="16" fillId="12" borderId="20" pivotButton="0" quotePrefix="0" xfId="0"/>
    <xf numFmtId="169" fontId="16" fillId="0" borderId="0" pivotButton="0" quotePrefix="0" xfId="0"/>
    <xf numFmtId="171" fontId="16" fillId="0" borderId="0" pivotButton="0" quotePrefix="0" xfId="0"/>
    <xf numFmtId="167" fontId="28" fillId="23" borderId="3" applyAlignment="1" pivotButton="0" quotePrefix="0" xfId="0">
      <alignment horizontal="center"/>
    </xf>
    <xf numFmtId="167" fontId="30" fillId="24" borderId="3" applyAlignment="1" pivotButton="0" quotePrefix="0" xfId="0">
      <alignment horizontal="center"/>
    </xf>
    <xf numFmtId="167" fontId="28" fillId="23" borderId="10" applyAlignment="1" pivotButton="0" quotePrefix="0" xfId="0">
      <alignment horizontal="center"/>
    </xf>
    <xf numFmtId="0" fontId="26" fillId="21" borderId="0" applyAlignment="1" pivotButton="0" quotePrefix="0" xfId="0">
      <alignment horizontal="left" vertical="center"/>
    </xf>
    <xf numFmtId="0" fontId="27" fillId="22" borderId="0" applyAlignment="1" pivotButton="0" quotePrefix="0" xfId="0">
      <alignment horizontal="left" vertical="center"/>
    </xf>
    <xf numFmtId="0" fontId="28" fillId="23" borderId="0" applyAlignment="1" pivotButton="0" quotePrefix="0" xfId="0">
      <alignment horizontal="right" vertical="center"/>
    </xf>
    <xf numFmtId="0" fontId="29" fillId="21" borderId="0" applyAlignment="1" pivotButton="0" quotePrefix="0" xfId="0">
      <alignment horizontal="right" vertical="center"/>
    </xf>
    <xf numFmtId="168" fontId="28" fillId="23" borderId="0" applyAlignment="1" pivotButton="0" quotePrefix="0" xfId="0">
      <alignment horizontal="right" vertical="center"/>
    </xf>
    <xf numFmtId="167" fontId="28" fillId="23" borderId="0" applyAlignment="1" pivotButton="0" quotePrefix="0" xfId="0">
      <alignment horizontal="center"/>
    </xf>
    <xf numFmtId="167" fontId="30" fillId="24" borderId="0" applyAlignment="1" pivotButton="0" quotePrefix="0" xfId="0">
      <alignment horizontal="center"/>
    </xf>
    <xf numFmtId="171" fontId="16" fillId="0" borderId="0" pivotButton="0" quotePrefix="0" xfId="0"/>
    <xf numFmtId="0" fontId="26" fillId="21" borderId="0" pivotButton="0" quotePrefix="0" xfId="0"/>
    <xf numFmtId="0" fontId="27" fillId="22" borderId="0" pivotButton="0" quotePrefix="0" xfId="0"/>
    <xf numFmtId="0" fontId="31" fillId="24" borderId="0" pivotButton="0" quotePrefix="0" xfId="0"/>
    <xf numFmtId="0" fontId="28" fillId="23" borderId="0" pivotButton="0" quotePrefix="0" xfId="0"/>
    <xf numFmtId="168" fontId="28" fillId="23" borderId="0" pivotButton="0" quotePrefix="0" xfId="0"/>
    <xf numFmtId="0" fontId="22" fillId="0" borderId="38" applyAlignment="1" pivotButton="0" quotePrefix="0" xfId="0">
      <alignment horizontal="center" vertical="center"/>
    </xf>
    <xf numFmtId="0" fontId="0" fillId="0" borderId="32" pivotButton="0" quotePrefix="0" xfId="0"/>
    <xf numFmtId="170" fontId="25" fillId="19" borderId="0" applyAlignment="1" pivotButton="0" quotePrefix="0" xfId="0">
      <alignment vertical="center"/>
    </xf>
    <xf numFmtId="170" fontId="25" fillId="0" borderId="0" applyAlignment="1" pivotButton="0" quotePrefix="0" xfId="0">
      <alignment vertical="center"/>
    </xf>
  </cellXfs>
  <cellStyles count="2">
    <cellStyle name="Normal" xfId="0" builtinId="0"/>
    <cellStyle name="Lien hypertexte" xfId="1" builtinId="8"/>
  </cellStyles>
  <dxfs count="21">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Chloé Carrie</author>
  </authors>
  <commentList>
    <comment ref="B5" authorId="0" shapeId="0">
      <text>
        <t>Chloé Carrie:
Hypothèse : PR moyen Whey Concentrate fourni par l'utilisateur</t>
      </text>
    </comment>
    <comment ref="B6" authorId="0" shapeId="0">
      <text>
        <t>TVA compléments alimentaires = 5,5%</t>
      </text>
    </comment>
    <comment ref="B7" authorId="0" shapeId="0">
      <text>
        <t>Chloé Carrie:
Remise client direct site propre — modifiable</t>
      </text>
    </comment>
    <comment ref="B8" authorId="0" shapeId="0">
      <text>
        <t>Chloé Carrie:
Prix de vente cible actuel communiqué par l'utilisateur</t>
      </text>
    </comment>
    <comment ref="E8" authorId="0" shapeId="0">
      <text>
        <t>Chloé Carrie:
Prix cible actuel</t>
      </text>
    </comment>
    <comment ref="B10" authorId="0" shapeId="0">
      <text>
        <t>Chloé Carrie:
Lié à Synthèse prix — prix actuel Whey Isolate chocolat</t>
      </text>
    </comment>
    <comment ref="B11" authorId="0" shapeId="0">
      <text>
        <t>Chloé Carrie:
Lié à Synthèse prix — prix actuel Whey Recovery chocolat</t>
      </text>
    </comment>
    <comment ref="B31" authorId="0" shapeId="0">
      <text>
        <t>Chloé Carrie:
Prix TTC minimum pour marge nette = 0€ après TVA et remise</t>
      </text>
    </comment>
    <comment ref="B33" authorId="0" shapeId="0">
      <text>
        <t>Chloé Carrie:
Prix TTC nécessaire pour atteindre la marge cible de 31%</t>
      </text>
    </comment>
    <comment ref="B36" authorId="0" shapeId="0">
      <text>
        <t>Chloé Carrie:
Dynamique : récupère automatiquement le PPTTC de la ligne marquée 🎯 Optimal</t>
      </text>
    </comment>
  </commentList>
</comments>
</file>

<file path=xl/comments/comment2.xml><?xml version="1.0" encoding="utf-8"?>
<comments xmlns="http://schemas.openxmlformats.org/spreadsheetml/2006/main">
  <authors>
    <author>Chloé Carrie</author>
  </authors>
  <commentList>
    <comment ref="B5" authorId="0" shapeId="0">
      <text>
        <t>Chloé Carrie:
PR Whey Isolate — modifiable</t>
      </text>
    </comment>
    <comment ref="B6" authorId="0" shapeId="0">
      <text>
        <t>Chloé Carrie:
Lié au taux TVA de l'onglet Concentrate</t>
      </text>
    </comment>
    <comment ref="B7" authorId="0" shapeId="0">
      <text>
        <t>Chloé Carrie:
Lié au taux remise de l'onglet Concentrate</t>
      </text>
    </comment>
    <comment ref="B8" authorId="0" shapeId="0">
      <text>
        <t>Chloé Carrie:
Prix actuel Whey Isolate (Synthèse prix)</t>
      </text>
    </comment>
    <comment ref="B11" authorId="0" shapeId="0">
      <text>
        <t>Chloé Carrie:
Dynamique : lié au prix 🎯 Optimal du tableau Concentrate</t>
      </text>
    </comment>
    <comment ref="B33" authorId="0" shapeId="0">
      <text>
        <t>Chloé Carrie:
Dynamique : premier prix 🎯 Optimal du tableau Isolate</t>
      </text>
    </comment>
  </commentList>
</comments>
</file>

<file path=xl/comments/comment3.xml><?xml version="1.0" encoding="utf-8"?>
<comments xmlns="http://schemas.openxmlformats.org/spreadsheetml/2006/main">
  <authors>
    <author>Chloé Carrie</author>
  </authors>
  <commentList>
    <comment ref="B5" authorId="0" shapeId="0">
      <text>
        <t>Chloé Carrie:
PR Whey Recovery = 12,15€ HT — modifiable</t>
      </text>
    </comment>
    <comment ref="B6" authorId="0" shapeId="0">
      <text>
        <t>Chloé Carrie:
Lié au taux TVA de l'onglet Concentrate</t>
      </text>
    </comment>
    <comment ref="B7" authorId="0" shapeId="0">
      <text>
        <t>Chloé Carrie:
Lié au taux remise de l'onglet Concentrate</t>
      </text>
    </comment>
    <comment ref="B8" authorId="0" shapeId="0">
      <text>
        <t>Chloé Carrie:
Prix actuel Whey Recovery (Synthèse prix)</t>
      </text>
    </comment>
    <comment ref="B11" authorId="0" shapeId="0">
      <text>
        <t>Chloé Carrie:
Dynamique : prix 🎯 Optimal Concentrate</t>
      </text>
    </comment>
    <comment ref="B12" authorId="0" shapeId="0">
      <text>
        <t>Chloé Carrie:
Dynamique : prix 🎯 Optimal Isolate</t>
      </text>
    </comment>
    <comment ref="B18" authorId="0" shapeId="0">
      <text>
        <t>Chloé Carrie:
Écart dynamique entre les 2 prix retenus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nutripure.fr/fr/musculation/147-1115-whey-chocolat-isolate.html" TargetMode="External" Id="rId1"/><Relationship Type="http://schemas.openxmlformats.org/officeDocument/2006/relationships/hyperlink" Target="https://www.nutrimuscle.com/products/whey-native-isolate" TargetMode="External" Id="rId2"/><Relationship Type="http://schemas.openxmlformats.org/officeDocument/2006/relationships/hyperlink" Target="https://www.ericfavre.com/fr_fr/proteines/iso-zero-100-whey-proteine-choco-intense-1-5kg-p-194-o-1200.htm" TargetMode="External" Id="rId3"/><Relationship Type="http://schemas.openxmlformats.org/officeDocument/2006/relationships/hyperlink" Target="https://www.eafit.com/eafit-pure-isolate-premium.html" TargetMode="External" Id="rId4"/></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Y48"/>
  <sheetViews>
    <sheetView workbookViewId="0">
      <pane xSplit="1" ySplit="2" topLeftCell="N3" activePane="bottomRight" state="frozen"/>
      <selection pane="topRight" activeCell="A1" sqref="A1"/>
      <selection pane="bottomLeft" activeCell="A1" sqref="A1"/>
      <selection pane="bottomRight" activeCell="S7" sqref="S7"/>
    </sheetView>
  </sheetViews>
  <sheetFormatPr baseColWidth="10" defaultColWidth="8.7265625" defaultRowHeight="14.5"/>
  <cols>
    <col width="36" customWidth="1" style="24" min="1" max="1"/>
    <col width="17.81640625" bestFit="1" customWidth="1" style="24" min="2" max="4"/>
    <col width="18" customWidth="1" style="24" min="5" max="6"/>
    <col width="21.54296875" bestFit="1" customWidth="1" style="24" min="7" max="7"/>
    <col width="20.54296875" bestFit="1" customWidth="1" style="24" min="8" max="9"/>
    <col width="22.6328125" bestFit="1" customWidth="1" style="24" min="10" max="10"/>
    <col width="18.26953125" bestFit="1" customWidth="1" style="24" min="11" max="11"/>
    <col width="24.08984375" bestFit="1" customWidth="1" style="24" min="12" max="12"/>
    <col width="21.6328125" bestFit="1" customWidth="1" style="24" min="13" max="13"/>
    <col width="26.26953125" bestFit="1" customWidth="1" style="24" min="14" max="14"/>
    <col width="21.90625" bestFit="1" customWidth="1" style="24" min="15" max="15"/>
    <col width="27.81640625" bestFit="1" customWidth="1" style="24" min="16" max="16"/>
    <col width="25.36328125" bestFit="1" customWidth="1" style="24" min="17" max="17"/>
    <col width="22.6328125" bestFit="1" customWidth="1" style="24" min="18" max="18"/>
    <col width="26.81640625" bestFit="1" customWidth="1" style="24" min="19" max="19"/>
    <col width="17.81640625" bestFit="1" customWidth="1" style="24" min="20" max="20"/>
    <col width="30.36328125" bestFit="1" customWidth="1" style="24" min="21" max="21"/>
    <col width="30.90625" bestFit="1" customWidth="1" style="24" min="22" max="22"/>
    <col width="29.26953125" bestFit="1" customWidth="1" style="24" min="23" max="23"/>
    <col width="24.81640625" bestFit="1" customWidth="1" style="24" min="24" max="24"/>
    <col width="25.453125" bestFit="1" customWidth="1" style="24" min="25" max="25"/>
    <col width="21.54296875" bestFit="1" customWidth="1" style="24" min="26" max="26"/>
    <col width="28.6328125" bestFit="1" customWidth="1" style="24" min="27" max="27"/>
    <col width="27.6328125" bestFit="1" customWidth="1" style="24" min="28" max="28"/>
    <col width="18" customWidth="1" style="24" min="29" max="29"/>
    <col width="23.7265625" bestFit="1" customWidth="1" style="24" min="30" max="30"/>
    <col width="21.54296875" bestFit="1" customWidth="1" style="24" min="31" max="31"/>
    <col width="31.453125" bestFit="1" customWidth="1" style="24" min="32" max="32"/>
    <col width="21.54296875" bestFit="1" customWidth="1" style="24" min="33" max="33"/>
    <col width="22.08984375" bestFit="1" customWidth="1" style="24" min="34" max="34"/>
    <col width="19.90625" bestFit="1" customWidth="1" style="24" min="35" max="35"/>
    <col width="21.54296875" bestFit="1" customWidth="1" style="24" min="36" max="36"/>
    <col width="20.54296875" bestFit="1" customWidth="1" style="24" min="37" max="37"/>
    <col width="22.08984375" bestFit="1" customWidth="1" style="24" min="38" max="38"/>
    <col width="20.54296875" bestFit="1" customWidth="1" style="24" min="39" max="39"/>
    <col width="21.36328125" bestFit="1" customWidth="1" style="24" min="40" max="40"/>
    <col width="21.81640625" bestFit="1" customWidth="1" style="24" min="41" max="41"/>
    <col width="23.26953125" bestFit="1" customWidth="1" style="24" min="42" max="42"/>
    <col width="22.36328125" bestFit="1" customWidth="1" style="24" min="43" max="43"/>
    <col width="23.81640625" bestFit="1" customWidth="1" style="24" min="44" max="44"/>
    <col width="34.08984375" bestFit="1" customWidth="1" style="24" min="45" max="45"/>
    <col width="21.36328125" bestFit="1" customWidth="1" style="24" min="46" max="46"/>
    <col width="17.81640625" bestFit="1" customWidth="1" style="24" min="47" max="47"/>
    <col width="18.36328125" bestFit="1" customWidth="1" style="24" min="48" max="48"/>
    <col width="19.453125" bestFit="1" customWidth="1" style="24" min="49" max="49"/>
    <col width="20.54296875" bestFit="1" customWidth="1" style="24" min="50" max="51"/>
  </cols>
  <sheetData>
    <row r="1">
      <c r="A1" s="1" t="inlineStr">
        <is>
          <t>MARQUE / PRODUIT</t>
        </is>
      </c>
      <c r="B1" s="2" t="inlineStr">
        <is>
          <t>IMPULSE</t>
        </is>
      </c>
      <c r="C1" s="2" t="inlineStr">
        <is>
          <t>IMPULSE</t>
        </is>
      </c>
      <c r="D1" s="2" t="inlineStr">
        <is>
          <t>IMPULSE</t>
        </is>
      </c>
      <c r="E1" s="2" t="inlineStr">
        <is>
          <t>IMPULSE</t>
        </is>
      </c>
      <c r="F1" s="2" t="inlineStr">
        <is>
          <t>IMPULSE</t>
        </is>
      </c>
      <c r="G1" s="3" t="inlineStr">
        <is>
          <t>NUTRIPURE</t>
        </is>
      </c>
      <c r="H1" s="3" t="inlineStr">
        <is>
          <t>NUTRIPURE</t>
        </is>
      </c>
      <c r="I1" s="3" t="inlineStr">
        <is>
          <t>NUTRIPURE</t>
        </is>
      </c>
      <c r="J1" s="3" t="inlineStr">
        <is>
          <t>NUTRIMUSCLE</t>
        </is>
      </c>
      <c r="K1" s="3" t="inlineStr">
        <is>
          <t>NUTRIMUSCLE</t>
        </is>
      </c>
      <c r="L1" s="3" t="inlineStr">
        <is>
          <t>NUTRIMUSCLE</t>
        </is>
      </c>
      <c r="M1" s="3" t="inlineStr">
        <is>
          <t>NUTRIMUSCLE</t>
        </is>
      </c>
      <c r="N1" s="3" t="inlineStr">
        <is>
          <t>NUTRIMUSCLE</t>
        </is>
      </c>
      <c r="O1" s="3" t="inlineStr">
        <is>
          <t>NUTRIMUSCLE</t>
        </is>
      </c>
      <c r="P1" s="3" t="inlineStr">
        <is>
          <t>NUTRIMUSCLE</t>
        </is>
      </c>
      <c r="Q1" s="3" t="inlineStr">
        <is>
          <t>NUTRIMUSCLE</t>
        </is>
      </c>
      <c r="R1" s="3" t="inlineStr">
        <is>
          <t>NUTRI&amp;CO</t>
        </is>
      </c>
      <c r="S1" s="3" t="inlineStr">
        <is>
          <t>NUTRI&amp;CO</t>
        </is>
      </c>
      <c r="T1" s="3" t="inlineStr">
        <is>
          <t>AQEELAB</t>
        </is>
      </c>
      <c r="U1" s="3" t="inlineStr">
        <is>
          <t>ERIC FAVRE</t>
        </is>
      </c>
      <c r="V1" s="3" t="inlineStr">
        <is>
          <t>ERIC FAVRE</t>
        </is>
      </c>
      <c r="W1" s="3" t="inlineStr">
        <is>
          <t>ERIC FAVRE</t>
        </is>
      </c>
      <c r="X1" s="3" t="inlineStr">
        <is>
          <t>ERIC FAVRE</t>
        </is>
      </c>
      <c r="Y1" s="3" t="inlineStr">
        <is>
          <t>ERIC FAVRE</t>
        </is>
      </c>
      <c r="Z1" s="3" t="inlineStr">
        <is>
          <t>ERIC FAVRE</t>
        </is>
      </c>
      <c r="AA1" s="3" t="inlineStr">
        <is>
          <t>ERIC FAVRE</t>
        </is>
      </c>
      <c r="AB1" s="3" t="inlineStr">
        <is>
          <t>ERIC FAVRE</t>
        </is>
      </c>
      <c r="AC1" s="3" t="inlineStr">
        <is>
          <t>EAFIT</t>
        </is>
      </c>
      <c r="AD1" s="3" t="inlineStr">
        <is>
          <t>EAFIT</t>
        </is>
      </c>
      <c r="AE1" s="3" t="inlineStr">
        <is>
          <t>EAFIT</t>
        </is>
      </c>
      <c r="AF1" s="3" t="inlineStr">
        <is>
          <t>EAFIT</t>
        </is>
      </c>
      <c r="AG1" s="3" t="inlineStr">
        <is>
          <t>EAFIT</t>
        </is>
      </c>
      <c r="AH1" s="3" t="inlineStr">
        <is>
          <t>EAFIT</t>
        </is>
      </c>
      <c r="AI1" s="3" t="inlineStr">
        <is>
          <t>BULK</t>
        </is>
      </c>
      <c r="AJ1" s="3" t="inlineStr">
        <is>
          <t>BULK</t>
        </is>
      </c>
      <c r="AK1" s="3" t="inlineStr">
        <is>
          <t>BULK</t>
        </is>
      </c>
      <c r="AL1" s="3" t="inlineStr">
        <is>
          <t>BULK</t>
        </is>
      </c>
      <c r="AM1" s="3" t="inlineStr">
        <is>
          <t>BULK</t>
        </is>
      </c>
      <c r="AN1" s="3" t="inlineStr">
        <is>
          <t>BULK</t>
        </is>
      </c>
      <c r="AO1" s="3" t="inlineStr">
        <is>
          <t>MYPROTEIN</t>
        </is>
      </c>
      <c r="AP1" s="3" t="inlineStr">
        <is>
          <t>MYPROTEIN</t>
        </is>
      </c>
      <c r="AQ1" s="3" t="inlineStr">
        <is>
          <t>MYPROTEIN</t>
        </is>
      </c>
      <c r="AR1" s="3" t="inlineStr">
        <is>
          <t>MYPROTEIN</t>
        </is>
      </c>
      <c r="AS1" s="3" t="inlineStr">
        <is>
          <t>MYPROTEIN</t>
        </is>
      </c>
      <c r="AT1" s="3" t="inlineStr">
        <is>
          <t>MYPROTEIN</t>
        </is>
      </c>
      <c r="AU1" s="3" t="inlineStr">
        <is>
          <t>BIOTECHUSA</t>
        </is>
      </c>
      <c r="AV1" s="3" t="inlineStr">
        <is>
          <t>BIOTECHUSA</t>
        </is>
      </c>
      <c r="AW1" s="3" t="inlineStr">
        <is>
          <t>BIOTECHUSA</t>
        </is>
      </c>
      <c r="AX1" s="3" t="inlineStr">
        <is>
          <t>BIOTECHUSA</t>
        </is>
      </c>
      <c r="AY1" s="3" t="inlineStr">
        <is>
          <t>BIOTECHUSA</t>
        </is>
      </c>
    </row>
    <row r="2" ht="36" customHeight="1" s="24">
      <c r="A2" s="4" t="inlineStr">
        <is>
          <t>RÉFÉRENCE</t>
        </is>
      </c>
      <c r="B2" s="5" t="inlineStr">
        <is>
          <t>Whey Isolate
(750g chocolat)</t>
        </is>
      </c>
      <c r="C2" s="5" t="inlineStr">
        <is>
          <t>Whey Isolate
(750g vanille)</t>
        </is>
      </c>
      <c r="D2" s="5" t="inlineStr">
        <is>
          <t>Whey Isolate
(750g nature)</t>
        </is>
      </c>
      <c r="E2" s="5" t="inlineStr">
        <is>
          <t>Whey Recovery
(525g chocolat)</t>
        </is>
      </c>
      <c r="F2" s="5" t="inlineStr">
        <is>
          <t>Whey Recovery
(525g vanille)</t>
        </is>
      </c>
      <c r="G2" s="6" t="inlineStr">
        <is>
          <t>Whey Isolat Native 750g
(750g chocolat)</t>
        </is>
      </c>
      <c r="H2" s="6" t="inlineStr">
        <is>
          <t>Whey Isolat Native 2kg
(2kg chocolat)</t>
        </is>
      </c>
      <c r="I2" s="6" t="inlineStr">
        <is>
          <t>Whey Isolat Native 4kg
(4kg chocolat)</t>
        </is>
      </c>
      <c r="J2" s="6" t="inlineStr">
        <is>
          <t>Whey Native Isolate 500g
(500g chocolat)</t>
        </is>
      </c>
      <c r="K2" s="6" t="inlineStr">
        <is>
          <t>Whey Native Isolate
(1kg chocolat)</t>
        </is>
      </c>
      <c r="L2" s="6" t="inlineStr">
        <is>
          <t>Whey Native Isolate 2,25kg
(2.25kg chocolat)</t>
        </is>
      </c>
      <c r="M2" s="6" t="inlineStr">
        <is>
          <t>Whey Native Isolate 4kg
(4kg chocolat)</t>
        </is>
      </c>
      <c r="N2" s="6" t="inlineStr">
        <is>
          <t>Whey Native Concentrat 500g
(500g chocolat)</t>
        </is>
      </c>
      <c r="O2" s="6" t="inlineStr">
        <is>
          <t>Whey Native Concentrat
(1kg chocolat)</t>
        </is>
      </c>
      <c r="P2" s="6" t="inlineStr">
        <is>
          <t>Whey Native Concentrat 2,25kg
(2.25kg chocolat)</t>
        </is>
      </c>
      <c r="Q2" s="6" t="inlineStr">
        <is>
          <t>Whey Native Concentrat 4kg
(4kg chocolat)</t>
        </is>
      </c>
      <c r="R2" s="6" t="inlineStr">
        <is>
          <t>Whey Isolate Native 900g
(900g chocolat)</t>
        </is>
      </c>
      <c r="S2" s="6" t="inlineStr">
        <is>
          <t>Whey Concentrée Native 900g
(900g chocolat)</t>
        </is>
      </c>
      <c r="T2" s="6" t="inlineStr">
        <is>
          <t>Whey Native 810g
(810g chocolat)</t>
        </is>
      </c>
      <c r="U2" s="6" t="inlineStr">
        <is>
          <t>Iso Zero 100% Whey Protéine 500g
(500g cookies cream)</t>
        </is>
      </c>
      <c r="V2" s="6" t="inlineStr">
        <is>
          <t>Iso Zero 100% Whey Protéine 1,5kg
(1.5kg chocolat)</t>
        </is>
      </c>
      <c r="W2" s="6" t="inlineStr">
        <is>
          <t>Iso Zero 100% Whey Protéine 2kg
(2kg chocotella)</t>
        </is>
      </c>
      <c r="X2" s="6" t="inlineStr">
        <is>
          <t>Whey Optimax Protein 500g
(500g biscuit cookie)</t>
        </is>
      </c>
      <c r="Y2" s="6" t="inlineStr">
        <is>
          <t>Whey Optimax Protein 1,5kg
(1.5kg chocolat)</t>
        </is>
      </c>
      <c r="Z2" s="6" t="inlineStr">
        <is>
          <t>Whey Zero Protéine 2kg
(2kg chocolat)</t>
        </is>
      </c>
      <c r="AA2" s="6" t="inlineStr">
        <is>
          <t>Iso Fusion Protein Complex 750g
(750g biscuit cookie)</t>
        </is>
      </c>
      <c r="AB2" s="6" t="inlineStr">
        <is>
          <t>Iso Fusion Protein Complex 2kg
(2kg biscuit cookie)</t>
        </is>
      </c>
      <c r="AC2" s="6" t="inlineStr">
        <is>
          <t>Pure Isolate 750g
(750g chocolat)</t>
        </is>
      </c>
      <c r="AD2" s="6" t="inlineStr">
        <is>
          <t>Pure Isolate Premium 750g
(750g citron)</t>
        </is>
      </c>
      <c r="AE2" s="6" t="inlineStr">
        <is>
          <t>Pure Whey Protein 750g
(750g double chocolat)</t>
        </is>
      </c>
      <c r="AF2" s="6" t="inlineStr">
        <is>
          <t>Mega Whey Creatine Complex 750g
(750g chocolat)</t>
        </is>
      </c>
      <c r="AG2" s="6" t="inlineStr">
        <is>
          <t>Pure Whey Protein 850g
(850g double chocolat)</t>
        </is>
      </c>
      <c r="AH2" s="6" t="inlineStr">
        <is>
          <t>Pure Whey Protein 2.2kg
(2.2kg double chocolat)</t>
        </is>
      </c>
      <c r="AI2" s="6" t="inlineStr">
        <is>
          <t>Pure Whey Isolate 1kg
(1kg chocolat)</t>
        </is>
      </c>
      <c r="AJ2" s="6" t="inlineStr">
        <is>
          <t>Pure Whey Isolate 2,5kg
(2.5kg chocolat)</t>
        </is>
      </c>
      <c r="AK2" s="6" t="inlineStr">
        <is>
          <t>Pure Whey Protein 1kg
(1kg chocolat)</t>
        </is>
      </c>
      <c r="AL2" s="6" t="inlineStr">
        <is>
          <t>Pure Whey Protein 2,5kg
(2.5kg chocolat)</t>
        </is>
      </c>
      <c r="AM2" s="6" t="inlineStr">
        <is>
          <t>Pure Whey Protein 5kg
(5kg chocolat)</t>
        </is>
      </c>
      <c r="AN2" s="6" t="inlineStr">
        <is>
          <t>Clear Whey Isolate 500g
(500g fraise)</t>
        </is>
      </c>
      <c r="AO2" s="6" t="inlineStr">
        <is>
          <t>Impact Whey Isolate 1kg
(1kg chocolat)</t>
        </is>
      </c>
      <c r="AP2" s="6" t="inlineStr">
        <is>
          <t>Impact Whey Isolate 2,5kg
(2.5kg chocolat)</t>
        </is>
      </c>
      <c r="AQ2" s="6" t="inlineStr">
        <is>
          <t>Impact Whey Protein 1kg
(1kg chocolat)</t>
        </is>
      </c>
      <c r="AR2" s="6" t="inlineStr">
        <is>
          <t>Impact Whey Protein 2,5kg
(2.5kg chocolat)</t>
        </is>
      </c>
      <c r="AS2" s="6" t="inlineStr">
        <is>
          <t>Impact Whey Protein 5kg (Sans arôme)
(5kg sans arôme)</t>
        </is>
      </c>
      <c r="AT2" s="6" t="inlineStr">
        <is>
          <t>Clear Whey Isolate 875g
(875g fraise)</t>
        </is>
      </c>
      <c r="AU2" s="6" t="inlineStr">
        <is>
          <t>Iso Whey Zero 908g
(908g chocolat)</t>
        </is>
      </c>
      <c r="AV2" s="6" t="inlineStr">
        <is>
          <t>Iso Whey Zero 1816g
(1.816kg chocolat)</t>
        </is>
      </c>
      <c r="AW2" s="6" t="inlineStr">
        <is>
          <t>100% Pure Whey 400g
(400g chocolat)</t>
        </is>
      </c>
      <c r="AX2" s="6" t="inlineStr">
        <is>
          <t>100% Pure Whey 1000g
(1kg chocolat)</t>
        </is>
      </c>
      <c r="AY2" s="6" t="inlineStr">
        <is>
          <t>100% Pure Whey 2000g
(2kg chocolat)</t>
        </is>
      </c>
    </row>
    <row r="3" ht="15.5" customHeight="1" s="24">
      <c r="A3" s="7" t="inlineStr">
        <is>
          <t>IDENTIFICATION</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c r="AX3" s="8" t="n"/>
      <c r="AY3" s="8" t="n"/>
    </row>
    <row r="4" ht="29" customHeight="1" s="24">
      <c r="A4" s="4" t="inlineStr">
        <is>
          <t>Type de whey</t>
        </is>
      </c>
      <c r="B4" s="9" t="inlineStr">
        <is>
          <t>isolat natif (natif)</t>
        </is>
      </c>
      <c r="C4" s="9" t="inlineStr">
        <is>
          <t>isolat natif (natif)</t>
        </is>
      </c>
      <c r="D4" s="9" t="inlineStr">
        <is>
          <t>isolat natif (natif)</t>
        </is>
      </c>
      <c r="E4" s="9" t="inlineStr">
        <is>
          <t>concentrat fromagere</t>
        </is>
      </c>
      <c r="F4" s="9" t="inlineStr">
        <is>
          <t>concentrat fromagere</t>
        </is>
      </c>
      <c r="G4" s="10" t="inlineStr">
        <is>
          <t>isolat natif (natif)</t>
        </is>
      </c>
      <c r="H4" s="10" t="inlineStr">
        <is>
          <t>isolat natif (natif)</t>
        </is>
      </c>
      <c r="I4" s="10" t="inlineStr">
        <is>
          <t>isolat natif (natif)</t>
        </is>
      </c>
      <c r="J4" s="10" t="inlineStr">
        <is>
          <t>isolat natif (natif)</t>
        </is>
      </c>
      <c r="K4" s="10" t="inlineStr">
        <is>
          <t>isolat natif (natif)</t>
        </is>
      </c>
      <c r="L4" s="10" t="inlineStr">
        <is>
          <t>isolat natif (natif)</t>
        </is>
      </c>
      <c r="M4" s="10" t="inlineStr">
        <is>
          <t>isolat natif (natif)</t>
        </is>
      </c>
      <c r="N4" s="10" t="inlineStr">
        <is>
          <t>concentrat natif (natif)</t>
        </is>
      </c>
      <c r="O4" s="10" t="inlineStr">
        <is>
          <t>concentrat natif (natif)</t>
        </is>
      </c>
      <c r="P4" s="10" t="inlineStr">
        <is>
          <t>concentrat natif (natif)</t>
        </is>
      </c>
      <c r="Q4" s="10" t="inlineStr">
        <is>
          <t>concentrat natif (natif)</t>
        </is>
      </c>
      <c r="R4" s="10" t="inlineStr">
        <is>
          <t>isolat natif (natif)</t>
        </is>
      </c>
      <c r="S4" s="10" t="inlineStr">
        <is>
          <t>concentrat natif (natif)</t>
        </is>
      </c>
      <c r="T4" s="10" t="inlineStr">
        <is>
          <t>concentrat natif (natif)</t>
        </is>
      </c>
      <c r="U4" s="10" t="inlineStr">
        <is>
          <t>isolat fromagere</t>
        </is>
      </c>
      <c r="V4" s="10" t="inlineStr">
        <is>
          <t>isolat fromagere</t>
        </is>
      </c>
      <c r="W4" s="10" t="inlineStr">
        <is>
          <t>isolat fromagere</t>
        </is>
      </c>
      <c r="X4" s="10" t="inlineStr">
        <is>
          <t>concentrat fromagere</t>
        </is>
      </c>
      <c r="Y4" s="10" t="inlineStr">
        <is>
          <t>concentrat fromagere</t>
        </is>
      </c>
      <c r="Z4" s="10" t="inlineStr">
        <is>
          <t>concentrat fromagere</t>
        </is>
      </c>
      <c r="AA4" s="10" t="inlineStr">
        <is>
          <t>mix concentrat isolat</t>
        </is>
      </c>
      <c r="AB4" s="10" t="inlineStr">
        <is>
          <t>mix concentrat isolat</t>
        </is>
      </c>
      <c r="AC4" s="10" t="inlineStr">
        <is>
          <t>isolat fromagere</t>
        </is>
      </c>
      <c r="AD4" s="10" t="inlineStr">
        <is>
          <t>isolat fromagere</t>
        </is>
      </c>
      <c r="AE4" s="10" t="inlineStr">
        <is>
          <t>concentrat fromagere</t>
        </is>
      </c>
      <c r="AF4" s="10" t="inlineStr">
        <is>
          <t>concentrat fromagere</t>
        </is>
      </c>
      <c r="AG4" s="10" t="inlineStr">
        <is>
          <t>concentrat fromagere</t>
        </is>
      </c>
      <c r="AH4" s="10" t="inlineStr">
        <is>
          <t>concentrat fromagere</t>
        </is>
      </c>
      <c r="AI4" s="10" t="inlineStr">
        <is>
          <t>isolat fromagere</t>
        </is>
      </c>
      <c r="AJ4" s="10" t="inlineStr">
        <is>
          <t>isolat fromagere</t>
        </is>
      </c>
      <c r="AK4" s="10" t="inlineStr">
        <is>
          <t>concentrat fromagere</t>
        </is>
      </c>
      <c r="AL4" s="10" t="inlineStr">
        <is>
          <t>concentrat fromagere</t>
        </is>
      </c>
      <c r="AM4" s="10" t="inlineStr">
        <is>
          <t>concentrat fromagere</t>
        </is>
      </c>
      <c r="AN4" s="10" t="inlineStr">
        <is>
          <t>clear hydrolysat</t>
        </is>
      </c>
      <c r="AO4" s="10" t="inlineStr">
        <is>
          <t>isolat fromagere</t>
        </is>
      </c>
      <c r="AP4" s="10" t="inlineStr">
        <is>
          <t>isolat fromagere</t>
        </is>
      </c>
      <c r="AQ4" s="10" t="inlineStr">
        <is>
          <t>concentrat fromagere</t>
        </is>
      </c>
      <c r="AR4" s="10" t="inlineStr">
        <is>
          <t>concentrat fromagere</t>
        </is>
      </c>
      <c r="AS4" s="10" t="inlineStr">
        <is>
          <t>concentrat fromagere</t>
        </is>
      </c>
      <c r="AT4" s="10" t="inlineStr">
        <is>
          <t>clear hydrolysat</t>
        </is>
      </c>
      <c r="AU4" s="10" t="inlineStr">
        <is>
          <t>isolat fromagere</t>
        </is>
      </c>
      <c r="AV4" s="10" t="inlineStr">
        <is>
          <t>isolat fromagere</t>
        </is>
      </c>
      <c r="AW4" s="10" t="inlineStr">
        <is>
          <t>concentrat fromagere</t>
        </is>
      </c>
      <c r="AX4" s="10" t="inlineStr">
        <is>
          <t>concentrat fromagere</t>
        </is>
      </c>
      <c r="AY4" s="10" t="inlineStr">
        <is>
          <t>concentrat fromagere</t>
        </is>
      </c>
    </row>
    <row r="5">
      <c r="A5" s="4" t="inlineStr">
        <is>
          <t>Poids net (g)</t>
        </is>
      </c>
      <c r="B5" s="9" t="n">
        <v>750</v>
      </c>
      <c r="C5" s="9" t="n">
        <v>750</v>
      </c>
      <c r="D5" s="9" t="n">
        <v>750</v>
      </c>
      <c r="E5" s="9" t="n">
        <v>525</v>
      </c>
      <c r="F5" s="9" t="n">
        <v>525</v>
      </c>
      <c r="G5" s="10" t="n">
        <v>750</v>
      </c>
      <c r="H5" s="10" t="n">
        <v>2000</v>
      </c>
      <c r="I5" s="10" t="n">
        <v>4000</v>
      </c>
      <c r="J5" s="10" t="n">
        <v>500</v>
      </c>
      <c r="K5" s="10" t="n">
        <v>1000</v>
      </c>
      <c r="L5" s="10" t="n">
        <v>2250</v>
      </c>
      <c r="M5" s="10" t="n">
        <v>4000</v>
      </c>
      <c r="N5" s="10" t="n">
        <v>500</v>
      </c>
      <c r="O5" s="10" t="n">
        <v>1000</v>
      </c>
      <c r="P5" s="10" t="n">
        <v>2250</v>
      </c>
      <c r="Q5" s="10" t="n">
        <v>4000</v>
      </c>
      <c r="R5" s="10" t="n">
        <v>900</v>
      </c>
      <c r="S5" s="10" t="n">
        <v>900</v>
      </c>
      <c r="T5" s="10" t="n">
        <v>810</v>
      </c>
      <c r="U5" s="10" t="n">
        <v>500</v>
      </c>
      <c r="V5" s="10" t="n">
        <v>1500</v>
      </c>
      <c r="W5" s="10" t="n">
        <v>2000</v>
      </c>
      <c r="X5" s="10" t="n">
        <v>500</v>
      </c>
      <c r="Y5" s="10" t="n">
        <v>1500</v>
      </c>
      <c r="Z5" s="10" t="n">
        <v>2000</v>
      </c>
      <c r="AA5" s="10" t="n">
        <v>750</v>
      </c>
      <c r="AB5" s="10" t="n">
        <v>2000</v>
      </c>
      <c r="AC5" s="10" t="n">
        <v>750</v>
      </c>
      <c r="AD5" s="10" t="n">
        <v>750</v>
      </c>
      <c r="AE5" s="10" t="n">
        <v>750</v>
      </c>
      <c r="AF5" s="10" t="n">
        <v>750</v>
      </c>
      <c r="AG5" s="10" t="n">
        <v>850</v>
      </c>
      <c r="AH5" s="10" t="n">
        <v>2200</v>
      </c>
      <c r="AI5" s="10" t="n">
        <v>1000</v>
      </c>
      <c r="AJ5" s="10" t="n">
        <v>2500</v>
      </c>
      <c r="AK5" s="10" t="n">
        <v>1000</v>
      </c>
      <c r="AL5" s="10" t="n">
        <v>2500</v>
      </c>
      <c r="AM5" s="10" t="n">
        <v>5000</v>
      </c>
      <c r="AN5" s="10" t="n">
        <v>500</v>
      </c>
      <c r="AO5" s="10" t="n">
        <v>1000</v>
      </c>
      <c r="AP5" s="10" t="n">
        <v>2500</v>
      </c>
      <c r="AQ5" s="10" t="n">
        <v>1000</v>
      </c>
      <c r="AR5" s="10" t="n">
        <v>2500</v>
      </c>
      <c r="AS5" s="10" t="n">
        <v>5000</v>
      </c>
      <c r="AT5" s="10" t="n">
        <v>875</v>
      </c>
      <c r="AU5" s="10" t="n">
        <v>908</v>
      </c>
      <c r="AV5" s="10" t="n">
        <v>1816</v>
      </c>
      <c r="AW5" s="10" t="n">
        <v>400</v>
      </c>
      <c r="AX5" s="10" t="n">
        <v>1000</v>
      </c>
      <c r="AY5" s="10" t="n">
        <v>2000</v>
      </c>
    </row>
    <row r="6">
      <c r="A6" s="4" t="inlineStr">
        <is>
          <t>Arôme pivot</t>
        </is>
      </c>
      <c r="B6" s="9" t="inlineStr">
        <is>
          <t>chocolat</t>
        </is>
      </c>
      <c r="C6" s="9" t="inlineStr">
        <is>
          <t>vanille</t>
        </is>
      </c>
      <c r="D6" s="9" t="inlineStr">
        <is>
          <t>nature</t>
        </is>
      </c>
      <c r="E6" s="9" t="inlineStr">
        <is>
          <t>chocolat</t>
        </is>
      </c>
      <c r="F6" s="9" t="inlineStr">
        <is>
          <t>vanille</t>
        </is>
      </c>
      <c r="G6" s="10" t="inlineStr">
        <is>
          <t>chocolat</t>
        </is>
      </c>
      <c r="H6" s="10" t="inlineStr">
        <is>
          <t>chocolat</t>
        </is>
      </c>
      <c r="I6" s="10" t="inlineStr">
        <is>
          <t>chocolat</t>
        </is>
      </c>
      <c r="J6" s="10" t="inlineStr">
        <is>
          <t>chocolat</t>
        </is>
      </c>
      <c r="K6" s="10" t="inlineStr">
        <is>
          <t>chocolat</t>
        </is>
      </c>
      <c r="L6" s="10" t="inlineStr">
        <is>
          <t>chocolat</t>
        </is>
      </c>
      <c r="M6" s="10" t="inlineStr">
        <is>
          <t>chocolat</t>
        </is>
      </c>
      <c r="N6" s="10" t="inlineStr">
        <is>
          <t>chocolat</t>
        </is>
      </c>
      <c r="O6" s="10" t="inlineStr">
        <is>
          <t>chocolat</t>
        </is>
      </c>
      <c r="P6" s="10" t="inlineStr">
        <is>
          <t>chocolat</t>
        </is>
      </c>
      <c r="Q6" s="10" t="inlineStr">
        <is>
          <t>chocolat</t>
        </is>
      </c>
      <c r="R6" s="10" t="inlineStr">
        <is>
          <t>chocolat</t>
        </is>
      </c>
      <c r="S6" s="10" t="inlineStr">
        <is>
          <t>chocolat</t>
        </is>
      </c>
      <c r="T6" s="10" t="inlineStr">
        <is>
          <t>chocolat</t>
        </is>
      </c>
      <c r="U6" s="10" t="inlineStr">
        <is>
          <t>cookies cream</t>
        </is>
      </c>
      <c r="V6" s="10" t="inlineStr">
        <is>
          <t>chocolat</t>
        </is>
      </c>
      <c r="W6" s="10" t="inlineStr">
        <is>
          <t>chocotella</t>
        </is>
      </c>
      <c r="X6" s="10" t="inlineStr">
        <is>
          <t>biscuit cookie</t>
        </is>
      </c>
      <c r="Y6" s="10" t="inlineStr">
        <is>
          <t>chocolat</t>
        </is>
      </c>
      <c r="Z6" s="10" t="inlineStr">
        <is>
          <t>chocolat</t>
        </is>
      </c>
      <c r="AA6" s="10" t="inlineStr">
        <is>
          <t>biscuit cookie</t>
        </is>
      </c>
      <c r="AB6" s="10" t="inlineStr">
        <is>
          <t>biscuit cookie</t>
        </is>
      </c>
      <c r="AC6" s="10" t="inlineStr">
        <is>
          <t>chocolat</t>
        </is>
      </c>
      <c r="AD6" s="10" t="inlineStr">
        <is>
          <t>citron</t>
        </is>
      </c>
      <c r="AE6" s="10" t="inlineStr">
        <is>
          <t>double chocolat</t>
        </is>
      </c>
      <c r="AF6" s="10" t="inlineStr">
        <is>
          <t>chocolat</t>
        </is>
      </c>
      <c r="AG6" s="10" t="inlineStr">
        <is>
          <t>double chocolat</t>
        </is>
      </c>
      <c r="AH6" s="10" t="inlineStr">
        <is>
          <t>double chocolat</t>
        </is>
      </c>
      <c r="AI6" s="10" t="inlineStr">
        <is>
          <t>chocolat</t>
        </is>
      </c>
      <c r="AJ6" s="10" t="inlineStr">
        <is>
          <t>chocolat</t>
        </is>
      </c>
      <c r="AK6" s="10" t="inlineStr">
        <is>
          <t>chocolat</t>
        </is>
      </c>
      <c r="AL6" s="10" t="inlineStr">
        <is>
          <t>chocolat</t>
        </is>
      </c>
      <c r="AM6" s="10" t="inlineStr">
        <is>
          <t>chocolat</t>
        </is>
      </c>
      <c r="AN6" s="10" t="inlineStr">
        <is>
          <t>fraise</t>
        </is>
      </c>
      <c r="AO6" s="10" t="inlineStr">
        <is>
          <t>chocolat</t>
        </is>
      </c>
      <c r="AP6" s="10" t="inlineStr">
        <is>
          <t>chocolat</t>
        </is>
      </c>
      <c r="AQ6" s="10" t="inlineStr">
        <is>
          <t>chocolat</t>
        </is>
      </c>
      <c r="AR6" s="10" t="inlineStr">
        <is>
          <t>chocolat</t>
        </is>
      </c>
      <c r="AS6" s="10" t="inlineStr">
        <is>
          <t>sans arôme</t>
        </is>
      </c>
      <c r="AT6" s="10" t="inlineStr">
        <is>
          <t>fraise</t>
        </is>
      </c>
      <c r="AU6" s="10" t="inlineStr">
        <is>
          <t>chocolat</t>
        </is>
      </c>
      <c r="AV6" s="10" t="inlineStr">
        <is>
          <t>chocolat</t>
        </is>
      </c>
      <c r="AW6" s="10" t="inlineStr">
        <is>
          <t>chocolat</t>
        </is>
      </c>
      <c r="AX6" s="10" t="inlineStr">
        <is>
          <t>chocolat</t>
        </is>
      </c>
      <c r="AY6" s="10" t="inlineStr">
        <is>
          <t>chocolat</t>
        </is>
      </c>
    </row>
    <row r="7" ht="87" customHeight="1" s="24">
      <c r="A7" s="4" t="inlineStr">
        <is>
          <t>Arômes disponibles (sample)</t>
        </is>
      </c>
      <c r="B7" s="9" t="inlineStr">
        <is>
          <t>chocolat, vanille, nature</t>
        </is>
      </c>
      <c r="C7" s="9" t="inlineStr">
        <is>
          <t>chocolat, vanille, nature</t>
        </is>
      </c>
      <c r="D7" s="9" t="inlineStr">
        <is>
          <t>chocolat, vanille, nature</t>
        </is>
      </c>
      <c r="E7" s="9" t="inlineStr">
        <is>
          <t>chocolat, vanille</t>
        </is>
      </c>
      <c r="F7" s="9" t="inlineStr">
        <is>
          <t>chocolat, vanille</t>
        </is>
      </c>
      <c r="G7" s="10" t="inlineStr">
        <is>
          <t>Chocolat, Vanille, Neutre, Noisette, Fraise</t>
        </is>
      </c>
      <c r="H7" s="10" t="inlineStr">
        <is>
          <t>Chocolat, Vanille, Neutre, Noisette, Fraise</t>
        </is>
      </c>
      <c r="I7" s="10" t="inlineStr">
        <is>
          <t>chocolat, vanille, neutre, noisette, fraise</t>
        </is>
      </c>
      <c r="J7" s="10" t="inlineStr">
        <is>
          <t>chocolat, nature, vanille, choco cookie, fraise, banane</t>
        </is>
      </c>
      <c r="K7" s="10" t="inlineStr">
        <is>
          <t>Chocolat, Vanille, Neutre, Fraise</t>
        </is>
      </c>
      <c r="L7" s="10" t="inlineStr">
        <is>
          <t>chocolat, nature, vanille, choco cookie, fraise, banane</t>
        </is>
      </c>
      <c r="M7" s="10" t="inlineStr">
        <is>
          <t>chocolat, nature, vanille, choco cookie, fraise, banane</t>
        </is>
      </c>
      <c r="N7" s="10" t="inlineStr">
        <is>
          <t>chocolat, vanille, nature</t>
        </is>
      </c>
      <c r="O7" s="10" t="inlineStr">
        <is>
          <t>Chocolat, Vanille, Neutre, Fraise</t>
        </is>
      </c>
      <c r="P7" s="10" t="inlineStr">
        <is>
          <t>chocolat, vanille, nature</t>
        </is>
      </c>
      <c r="Q7" s="10" t="inlineStr">
        <is>
          <t>chocolat, vanille, nature</t>
        </is>
      </c>
      <c r="R7" s="10" t="inlineStr">
        <is>
          <t>chocolat, vanille, sans arôme</t>
        </is>
      </c>
      <c r="S7" s="10" t="inlineStr">
        <is>
          <t>chocolat, vanille</t>
        </is>
      </c>
      <c r="T7" s="10" t="inlineStr">
        <is>
          <t>chocolat, vanille</t>
        </is>
      </c>
      <c r="U7" s="10" t="inlineStr">
        <is>
          <t>chocolat, vanille, cookies cream, chocotella, pistache</t>
        </is>
      </c>
      <c r="V7" s="10" t="inlineStr">
        <is>
          <t>chocolat, vanille, cookies cream, chocotella, pistache, framboisier, café latte</t>
        </is>
      </c>
      <c r="W7" s="10" t="inlineStr">
        <is>
          <t>chocolat, vanille, cookies cream, chocotella, pistache, framboisier, café latte</t>
        </is>
      </c>
      <c r="X7" s="10" t="inlineStr">
        <is>
          <t>chocolat, vanille, biscuit cookie</t>
        </is>
      </c>
      <c r="Y7" s="10" t="inlineStr">
        <is>
          <t>chocolat, vanille, biscuit cookie, chocotella</t>
        </is>
      </c>
      <c r="Z7" s="10" t="inlineStr">
        <is>
          <t>chocolat, vanille, cookies cream</t>
        </is>
      </c>
      <c r="AA7" s="10" t="inlineStr">
        <is>
          <t>biscuit cookie, vanille, chocotella</t>
        </is>
      </c>
      <c r="AB7" s="10" t="inlineStr">
        <is>
          <t>biscuit cookie, vanille, chocotella</t>
        </is>
      </c>
      <c r="AC7" s="10" t="inlineStr">
        <is>
          <t>chocolat, vanille, fruits rouges</t>
        </is>
      </c>
      <c r="AD7" s="10" t="inlineStr">
        <is>
          <t>citron</t>
        </is>
      </c>
      <c r="AE7" s="10" t="inlineStr">
        <is>
          <t>double chocolat, café, chocolat noisette, vanille intense, caramel, fraise</t>
        </is>
      </c>
      <c r="AF7" s="10" t="inlineStr">
        <is>
          <t>chocolat, vanille</t>
        </is>
      </c>
      <c r="AG7" s="10" t="inlineStr">
        <is>
          <t>double chocolat, café, chocolat noisette, vanille intense, caramel</t>
        </is>
      </c>
      <c r="AH7" s="10" t="inlineStr">
        <is>
          <t>double chocolat, vanille intense, fraise, myrtille, chocolat noisette</t>
        </is>
      </c>
      <c r="AI7" s="10" t="inlineStr">
        <is>
          <t>Choco, Vanille, Fraise, Neutre</t>
        </is>
      </c>
      <c r="AJ7" s="10" t="inlineStr">
        <is>
          <t>Choco, Vanille, Fraise, Neutre</t>
        </is>
      </c>
      <c r="AK7" s="10" t="inlineStr">
        <is>
          <t>+20 saveurs (Choco, Vanille, Fraise, Neutre...)</t>
        </is>
      </c>
      <c r="AL7" s="10" t="inlineStr">
        <is>
          <t>+20 saveurs</t>
        </is>
      </c>
      <c r="AM7" s="10" t="inlineStr">
        <is>
          <t>+20 saveurs</t>
        </is>
      </c>
      <c r="AN7" s="10" t="inlineStr">
        <is>
          <t>Fraise, Pastèque, Pêche, Ananas...</t>
        </is>
      </c>
      <c r="AO7" s="10" t="inlineStr">
        <is>
          <t>+40 saveurs</t>
        </is>
      </c>
      <c r="AP7" s="10" t="inlineStr">
        <is>
          <t>+40 saveurs</t>
        </is>
      </c>
      <c r="AQ7" s="10" t="inlineStr">
        <is>
          <t>+40 saveurs (Choco Brownie, Vanille, Fraise, Neutre...)</t>
        </is>
      </c>
      <c r="AR7" s="10" t="inlineStr">
        <is>
          <t>+40 saveurs</t>
        </is>
      </c>
      <c r="AS7" s="10" t="inlineStr">
        <is>
          <t>sans arôme</t>
        </is>
      </c>
      <c r="AT7" s="10" t="inlineStr">
        <is>
          <t>Fraise, Pastèque, Limonade, Tropical...</t>
        </is>
      </c>
      <c r="AU7" s="10" t="inlineStr">
        <is>
          <t>chocolat, chocolat blanc, vanille, caramel catalan, banane, black biscuit</t>
        </is>
      </c>
      <c r="AV7" s="10" t="inlineStr">
        <is>
          <t>chocolat, chocolat blanc, vanille, caramel catalan, banane</t>
        </is>
      </c>
      <c r="AW7" s="10" t="inlineStr">
        <is>
          <t>chocolat, vanille bourbon, fraise, noisettes, beurre de cacahuète au chocolat, cookies &amp; cream</t>
        </is>
      </c>
      <c r="AX7" s="10" t="inlineStr">
        <is>
          <t>chocolat, vanille bourbon, fraise, noisettes, cookies &amp; cream</t>
        </is>
      </c>
      <c r="AY7" s="10" t="inlineStr">
        <is>
          <t>chocolat, vanille bourbon, fraise, noisettes, cookies &amp; cream</t>
        </is>
      </c>
    </row>
    <row r="8">
      <c r="A8" s="4" t="inlineStr">
        <is>
          <t>Origine lait</t>
        </is>
      </c>
      <c r="B8" s="9" t="inlineStr">
        <is>
          <t>France</t>
        </is>
      </c>
      <c r="C8" s="9" t="inlineStr">
        <is>
          <t>France</t>
        </is>
      </c>
      <c r="D8" s="9" t="inlineStr">
        <is>
          <t>France</t>
        </is>
      </c>
      <c r="E8" s="9" t="inlineStr">
        <is>
          <t>UE</t>
        </is>
      </c>
      <c r="F8" s="9" t="inlineStr">
        <is>
          <t>UE</t>
        </is>
      </c>
      <c r="G8" s="10" t="inlineStr">
        <is>
          <t>France (pâturages)</t>
        </is>
      </c>
      <c r="H8" s="10" t="inlineStr">
        <is>
          <t>France (pâturages)</t>
        </is>
      </c>
      <c r="I8" s="10" t="inlineStr">
        <is>
          <t>France (pâturages)</t>
        </is>
      </c>
      <c r="J8" s="10" t="inlineStr">
        <is>
          <t>France (Lactalis)</t>
        </is>
      </c>
      <c r="K8" s="10" t="inlineStr">
        <is>
          <t>France (Lactalis)</t>
        </is>
      </c>
      <c r="L8" s="10" t="inlineStr">
        <is>
          <t>France (Lactalis)</t>
        </is>
      </c>
      <c r="M8" s="10" t="inlineStr">
        <is>
          <t>France (Lactalis)</t>
        </is>
      </c>
      <c r="N8" s="10" t="inlineStr">
        <is>
          <t>France (Lactalis)</t>
        </is>
      </c>
      <c r="O8" s="10" t="inlineStr">
        <is>
          <t>France (Lactalis)</t>
        </is>
      </c>
      <c r="P8" s="10" t="inlineStr">
        <is>
          <t>France (Lactalis)</t>
        </is>
      </c>
      <c r="Q8" s="10" t="inlineStr">
        <is>
          <t>France (Lactalis)</t>
        </is>
      </c>
      <c r="R8" s="10" t="inlineStr">
        <is>
          <t>France</t>
        </is>
      </c>
      <c r="S8" s="10" t="inlineStr">
        <is>
          <t>France (pâturages)</t>
        </is>
      </c>
      <c r="T8" s="10" t="inlineStr">
        <is>
          <t>France</t>
        </is>
      </c>
      <c r="U8" s="10" t="n"/>
      <c r="V8" s="10" t="n"/>
      <c r="W8" s="10" t="n"/>
      <c r="X8" s="10" t="n"/>
      <c r="Y8" s="10" t="n"/>
      <c r="Z8" s="10" t="n"/>
      <c r="AA8" s="10" t="n"/>
      <c r="AB8" s="10" t="n"/>
      <c r="AC8" s="10" t="n"/>
      <c r="AD8" s="10" t="n"/>
      <c r="AE8" s="10" t="n"/>
      <c r="AF8" s="10" t="n"/>
      <c r="AG8" s="10" t="n"/>
      <c r="AH8" s="10" t="n"/>
      <c r="AI8" s="10" t="inlineStr">
        <is>
          <t>UE</t>
        </is>
      </c>
      <c r="AJ8" s="10" t="inlineStr">
        <is>
          <t>UE</t>
        </is>
      </c>
      <c r="AK8" s="10" t="inlineStr">
        <is>
          <t>UE</t>
        </is>
      </c>
      <c r="AL8" s="10" t="inlineStr">
        <is>
          <t>UE</t>
        </is>
      </c>
      <c r="AM8" s="10" t="inlineStr">
        <is>
          <t>UE</t>
        </is>
      </c>
      <c r="AN8" s="10" t="inlineStr">
        <is>
          <t>UE</t>
        </is>
      </c>
      <c r="AO8" s="10" t="inlineStr">
        <is>
          <t>UE</t>
        </is>
      </c>
      <c r="AP8" s="10" t="inlineStr">
        <is>
          <t>UE</t>
        </is>
      </c>
      <c r="AQ8" s="10" t="inlineStr">
        <is>
          <t>UE (UK, IE, NL...)</t>
        </is>
      </c>
      <c r="AR8" s="10" t="inlineStr">
        <is>
          <t>UE</t>
        </is>
      </c>
      <c r="AS8" s="10" t="inlineStr">
        <is>
          <t>UE</t>
        </is>
      </c>
      <c r="AT8" s="10" t="inlineStr">
        <is>
          <t>UE</t>
        </is>
      </c>
      <c r="AU8" s="10" t="n"/>
      <c r="AV8" s="10" t="n"/>
      <c r="AW8" s="10" t="n"/>
      <c r="AX8" s="10" t="n"/>
      <c r="AY8" s="10" t="n"/>
    </row>
    <row r="9" ht="29" customHeight="1" s="24">
      <c r="A9" s="4" t="inlineStr">
        <is>
          <t>Certifications</t>
        </is>
      </c>
      <c r="B9" s="9" t="n"/>
      <c r="C9" s="9" t="n"/>
      <c r="D9" s="9" t="n"/>
      <c r="E9" s="9" t="inlineStr">
        <is>
          <t>Creapure®, Peptan®</t>
        </is>
      </c>
      <c r="F9" s="9" t="inlineStr">
        <is>
          <t>Creapure®, Peptan®</t>
        </is>
      </c>
      <c r="G9" s="10" t="inlineStr">
        <is>
          <t>EN 17444</t>
        </is>
      </c>
      <c r="H9" s="10" t="inlineStr">
        <is>
          <t>EN 17444</t>
        </is>
      </c>
      <c r="I9" s="10" t="inlineStr">
        <is>
          <t>EN 17444</t>
        </is>
      </c>
      <c r="J9" s="10" t="inlineStr">
        <is>
          <t>Certifié, lait Lactalis FR</t>
        </is>
      </c>
      <c r="K9" s="10" t="inlineStr">
        <is>
          <t>Certifié, lait Lactalis FR</t>
        </is>
      </c>
      <c r="L9" s="10" t="inlineStr">
        <is>
          <t>Certifié, lait Lactalis FR</t>
        </is>
      </c>
      <c r="M9" s="10" t="inlineStr">
        <is>
          <t>Certifié, lait Lactalis FR</t>
        </is>
      </c>
      <c r="N9" s="10" t="inlineStr">
        <is>
          <t>Certifié, lait Lactalis FR</t>
        </is>
      </c>
      <c r="O9" s="10" t="inlineStr">
        <is>
          <t>Certifié, lait Lactalis FR</t>
        </is>
      </c>
      <c r="P9" s="10" t="inlineStr">
        <is>
          <t>Certifié, lait Lactalis FR</t>
        </is>
      </c>
      <c r="Q9" s="10" t="inlineStr">
        <is>
          <t>Certifié, lait Lactalis FR</t>
        </is>
      </c>
      <c r="R9" s="10" t="n"/>
      <c r="S9" s="10" t="n"/>
      <c r="T9" s="10" t="inlineStr">
        <is>
          <t>Testée labo indépendant</t>
        </is>
      </c>
      <c r="U9" s="10" t="inlineStr">
        <is>
          <t>Nutricontrole</t>
        </is>
      </c>
      <c r="V9" s="10" t="inlineStr">
        <is>
          <t>Nutricontrole</t>
        </is>
      </c>
      <c r="W9" s="10" t="inlineStr">
        <is>
          <t>Nutricontrole</t>
        </is>
      </c>
      <c r="X9" s="10" t="inlineStr">
        <is>
          <t>Nutricontrole</t>
        </is>
      </c>
      <c r="Y9" s="10" t="inlineStr">
        <is>
          <t>Nutricontrole</t>
        </is>
      </c>
      <c r="Z9" s="10" t="inlineStr">
        <is>
          <t>Nutricontrole</t>
        </is>
      </c>
      <c r="AA9" s="10" t="inlineStr">
        <is>
          <t>Nutricontrole</t>
        </is>
      </c>
      <c r="AB9" s="10" t="inlineStr">
        <is>
          <t>Nutricontrole</t>
        </is>
      </c>
      <c r="AC9" s="10" t="inlineStr">
        <is>
          <t>Marque N°1 en pharmacie</t>
        </is>
      </c>
      <c r="AD9" s="10" t="inlineStr">
        <is>
          <t>Marque N°1 en pharmacie</t>
        </is>
      </c>
      <c r="AE9" s="10" t="inlineStr">
        <is>
          <t>Marque N°1 en pharmacie</t>
        </is>
      </c>
      <c r="AF9" s="10" t="inlineStr">
        <is>
          <t>Marque N°1 en pharmacie</t>
        </is>
      </c>
      <c r="AG9" s="10" t="inlineStr">
        <is>
          <t>Marque N°1 en pharmacie</t>
        </is>
      </c>
      <c r="AH9" s="10" t="inlineStr">
        <is>
          <t>Marque N°1 en pharmacie</t>
        </is>
      </c>
      <c r="AI9" s="10" t="inlineStr">
        <is>
          <t>Informed Sport</t>
        </is>
      </c>
      <c r="AJ9" s="10" t="inlineStr">
        <is>
          <t>Informed Sport</t>
        </is>
      </c>
      <c r="AK9" s="10" t="inlineStr">
        <is>
          <t>Informed Sport</t>
        </is>
      </c>
      <c r="AL9" s="10" t="inlineStr">
        <is>
          <t>Informed Sport</t>
        </is>
      </c>
      <c r="AM9" s="10" t="inlineStr">
        <is>
          <t>Informed Sport</t>
        </is>
      </c>
      <c r="AN9" s="10" t="inlineStr">
        <is>
          <t>Informed Sport</t>
        </is>
      </c>
      <c r="AO9" s="10" t="inlineStr">
        <is>
          <t>Informed Choice</t>
        </is>
      </c>
      <c r="AP9" s="10" t="inlineStr">
        <is>
          <t>Informed Choice</t>
        </is>
      </c>
      <c r="AQ9" s="10" t="inlineStr">
        <is>
          <t>Informed Choice</t>
        </is>
      </c>
      <c r="AR9" s="10" t="inlineStr">
        <is>
          <t>Informed Choice</t>
        </is>
      </c>
      <c r="AS9" s="10" t="inlineStr">
        <is>
          <t>Informed Choice</t>
        </is>
      </c>
      <c r="AT9" s="10" t="inlineStr">
        <is>
          <t>Informed Choice</t>
        </is>
      </c>
      <c r="AU9" s="10" t="n"/>
      <c r="AV9" s="10" t="n"/>
      <c r="AW9" s="10" t="n"/>
      <c r="AX9" s="10" t="n"/>
      <c r="AY9" s="10" t="n"/>
    </row>
    <row r="10">
      <c r="A10" s="4" t="inlineStr">
        <is>
          <t>Native / Fromagère</t>
        </is>
      </c>
      <c r="B10" s="9" t="inlineStr">
        <is>
          <t>native</t>
        </is>
      </c>
      <c r="C10" s="9" t="inlineStr">
        <is>
          <t>native</t>
        </is>
      </c>
      <c r="D10" s="9" t="inlineStr">
        <is>
          <t>native</t>
        </is>
      </c>
      <c r="E10" s="9" t="inlineStr">
        <is>
          <t>fromagere</t>
        </is>
      </c>
      <c r="F10" s="9" t="inlineStr">
        <is>
          <t>fromagere</t>
        </is>
      </c>
      <c r="G10" s="10" t="inlineStr">
        <is>
          <t>native</t>
        </is>
      </c>
      <c r="H10" s="10" t="inlineStr">
        <is>
          <t>native</t>
        </is>
      </c>
      <c r="I10" s="10" t="inlineStr">
        <is>
          <t>native</t>
        </is>
      </c>
      <c r="J10" s="10" t="inlineStr">
        <is>
          <t>native</t>
        </is>
      </c>
      <c r="K10" s="10" t="inlineStr">
        <is>
          <t>native</t>
        </is>
      </c>
      <c r="L10" s="10" t="inlineStr">
        <is>
          <t>native</t>
        </is>
      </c>
      <c r="M10" s="10" t="inlineStr">
        <is>
          <t>native</t>
        </is>
      </c>
      <c r="N10" s="10" t="inlineStr">
        <is>
          <t>native</t>
        </is>
      </c>
      <c r="O10" s="10" t="inlineStr">
        <is>
          <t>native</t>
        </is>
      </c>
      <c r="P10" s="10" t="inlineStr">
        <is>
          <t>native</t>
        </is>
      </c>
      <c r="Q10" s="10" t="inlineStr">
        <is>
          <t>native</t>
        </is>
      </c>
      <c r="R10" s="10" t="inlineStr">
        <is>
          <t>native</t>
        </is>
      </c>
      <c r="S10" s="10" t="inlineStr">
        <is>
          <t>native</t>
        </is>
      </c>
      <c r="T10" s="10" t="inlineStr">
        <is>
          <t>native</t>
        </is>
      </c>
      <c r="U10" s="10" t="inlineStr">
        <is>
          <t>fromagere</t>
        </is>
      </c>
      <c r="V10" s="10" t="inlineStr">
        <is>
          <t>fromagere</t>
        </is>
      </c>
      <c r="W10" s="10" t="inlineStr">
        <is>
          <t>fromagere</t>
        </is>
      </c>
      <c r="X10" s="10" t="inlineStr">
        <is>
          <t>fromagere</t>
        </is>
      </c>
      <c r="Y10" s="10" t="inlineStr">
        <is>
          <t>fromagere</t>
        </is>
      </c>
      <c r="Z10" s="10" t="inlineStr">
        <is>
          <t>fromagere</t>
        </is>
      </c>
      <c r="AA10" s="10" t="inlineStr">
        <is>
          <t>fromagere</t>
        </is>
      </c>
      <c r="AB10" s="10" t="inlineStr">
        <is>
          <t>fromagere</t>
        </is>
      </c>
      <c r="AC10" s="10" t="inlineStr">
        <is>
          <t>fromagere</t>
        </is>
      </c>
      <c r="AD10" s="10" t="inlineStr">
        <is>
          <t>fromagere</t>
        </is>
      </c>
      <c r="AE10" s="10" t="inlineStr">
        <is>
          <t>fromagere</t>
        </is>
      </c>
      <c r="AF10" s="10" t="inlineStr">
        <is>
          <t>fromagere</t>
        </is>
      </c>
      <c r="AG10" s="10" t="inlineStr">
        <is>
          <t>fromagere</t>
        </is>
      </c>
      <c r="AH10" s="10" t="inlineStr">
        <is>
          <t>fromagere</t>
        </is>
      </c>
      <c r="AI10" s="10" t="inlineStr">
        <is>
          <t>fromagere</t>
        </is>
      </c>
      <c r="AJ10" s="10" t="inlineStr">
        <is>
          <t>fromagere</t>
        </is>
      </c>
      <c r="AK10" s="10" t="inlineStr">
        <is>
          <t>fromagere</t>
        </is>
      </c>
      <c r="AL10" s="10" t="inlineStr">
        <is>
          <t>fromagere</t>
        </is>
      </c>
      <c r="AM10" s="10" t="inlineStr">
        <is>
          <t>fromagere</t>
        </is>
      </c>
      <c r="AN10" s="10" t="inlineStr">
        <is>
          <t>fromagere</t>
        </is>
      </c>
      <c r="AO10" s="10" t="inlineStr">
        <is>
          <t>fromagere</t>
        </is>
      </c>
      <c r="AP10" s="10" t="inlineStr">
        <is>
          <t>fromagere</t>
        </is>
      </c>
      <c r="AQ10" s="10" t="inlineStr">
        <is>
          <t>fromagere</t>
        </is>
      </c>
      <c r="AR10" s="10" t="inlineStr">
        <is>
          <t>fromagere</t>
        </is>
      </c>
      <c r="AS10" s="10" t="inlineStr">
        <is>
          <t>fromagere</t>
        </is>
      </c>
      <c r="AT10" s="10" t="inlineStr">
        <is>
          <t>fromagere</t>
        </is>
      </c>
      <c r="AU10" s="10" t="inlineStr">
        <is>
          <t>fromagere</t>
        </is>
      </c>
      <c r="AV10" s="10" t="inlineStr">
        <is>
          <t>fromagere</t>
        </is>
      </c>
      <c r="AW10" s="10" t="inlineStr">
        <is>
          <t>fromagere</t>
        </is>
      </c>
      <c r="AX10" s="10" t="inlineStr">
        <is>
          <t>fromagere</t>
        </is>
      </c>
      <c r="AY10" s="10" t="inlineStr">
        <is>
          <t>fromagere</t>
        </is>
      </c>
    </row>
    <row r="11" ht="15.5" customHeight="1" s="24">
      <c r="A11" s="7" t="inlineStr">
        <is>
          <t>FORMULE &amp; NUTRITION</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c r="AY11" s="8" t="n"/>
    </row>
    <row r="12">
      <c r="A12" s="4" t="inlineStr">
        <is>
          <t>% protéines / 100g</t>
        </is>
      </c>
      <c r="B12" s="9" t="n">
        <v>85</v>
      </c>
      <c r="C12" s="9" t="n">
        <v>85</v>
      </c>
      <c r="D12" s="9" t="n">
        <v>85</v>
      </c>
      <c r="E12" s="9" t="n">
        <v>60</v>
      </c>
      <c r="F12" s="9" t="n">
        <v>60</v>
      </c>
      <c r="G12" s="10" t="n">
        <v>94</v>
      </c>
      <c r="H12" s="10" t="n">
        <v>94</v>
      </c>
      <c r="I12" s="10" t="n">
        <v>85</v>
      </c>
      <c r="J12" s="10" t="n">
        <v>87</v>
      </c>
      <c r="K12" s="10" t="n">
        <v>85</v>
      </c>
      <c r="L12" s="10" t="n">
        <v>87</v>
      </c>
      <c r="M12" s="10" t="n">
        <v>87</v>
      </c>
      <c r="N12" s="10" t="n">
        <v>80</v>
      </c>
      <c r="O12" s="10" t="n">
        <v>80</v>
      </c>
      <c r="P12" s="10" t="n">
        <v>80</v>
      </c>
      <c r="Q12" s="10" t="n">
        <v>80</v>
      </c>
      <c r="R12" s="10" t="n">
        <v>94</v>
      </c>
      <c r="S12" s="10" t="n">
        <v>75</v>
      </c>
      <c r="T12" s="10" t="n">
        <v>94</v>
      </c>
      <c r="U12" s="10" t="n">
        <v>83</v>
      </c>
      <c r="V12" s="10" t="n">
        <v>83</v>
      </c>
      <c r="W12" s="10" t="n">
        <v>83</v>
      </c>
      <c r="X12" s="10" t="n">
        <v>73</v>
      </c>
      <c r="Y12" s="10" t="n">
        <v>73</v>
      </c>
      <c r="Z12" s="10" t="n">
        <v>75</v>
      </c>
      <c r="AA12" s="10" t="n">
        <v>81</v>
      </c>
      <c r="AB12" s="10" t="n">
        <v>81</v>
      </c>
      <c r="AC12" s="10" t="n">
        <v>81</v>
      </c>
      <c r="AD12" s="10" t="n">
        <v>79</v>
      </c>
      <c r="AE12" s="10" t="n">
        <v>77</v>
      </c>
      <c r="AF12" s="10" t="n">
        <v>73</v>
      </c>
      <c r="AG12" s="10" t="n">
        <v>77</v>
      </c>
      <c r="AH12" s="10" t="n">
        <v>77</v>
      </c>
      <c r="AI12" s="10" t="n">
        <v>90</v>
      </c>
      <c r="AJ12" s="10" t="n">
        <v>90</v>
      </c>
      <c r="AK12" s="10" t="n">
        <v>82</v>
      </c>
      <c r="AL12" s="10" t="n">
        <v>82</v>
      </c>
      <c r="AM12" s="10" t="n">
        <v>82</v>
      </c>
      <c r="AN12" s="10" t="n">
        <v>72</v>
      </c>
      <c r="AO12" s="10" t="n">
        <v>90</v>
      </c>
      <c r="AP12" s="10" t="n">
        <v>90</v>
      </c>
      <c r="AQ12" s="10" t="n">
        <v>82</v>
      </c>
      <c r="AR12" s="10" t="n">
        <v>82</v>
      </c>
      <c r="AS12" s="10" t="n">
        <v>82</v>
      </c>
      <c r="AT12" s="10" t="n">
        <v>68</v>
      </c>
      <c r="AU12" s="10" t="n">
        <v>84</v>
      </c>
      <c r="AV12" s="10" t="n">
        <v>84</v>
      </c>
      <c r="AW12" s="10" t="n">
        <v>76</v>
      </c>
      <c r="AX12" s="10" t="n">
        <v>76</v>
      </c>
      <c r="AY12" s="10" t="n">
        <v>76</v>
      </c>
    </row>
    <row r="13">
      <c r="A13" s="4" t="inlineStr">
        <is>
          <t>Protéines / portion (g)</t>
        </is>
      </c>
      <c r="B13" s="9" t="n">
        <v>25.5</v>
      </c>
      <c r="C13" s="9" t="n">
        <v>25.5</v>
      </c>
      <c r="D13" s="9" t="n">
        <v>25.5</v>
      </c>
      <c r="E13" s="9" t="n">
        <v>21</v>
      </c>
      <c r="F13" s="9" t="n">
        <v>21</v>
      </c>
      <c r="G13" s="10" t="n">
        <v>25</v>
      </c>
      <c r="H13" s="10" t="n">
        <v>25</v>
      </c>
      <c r="I13" s="10" t="n">
        <v>25</v>
      </c>
      <c r="J13" s="10" t="n">
        <v>25</v>
      </c>
      <c r="K13" s="10" t="n">
        <v>24</v>
      </c>
      <c r="L13" s="10" t="n">
        <v>25</v>
      </c>
      <c r="M13" s="10" t="n">
        <v>25</v>
      </c>
      <c r="N13" s="10" t="n">
        <v>24</v>
      </c>
      <c r="O13" s="10" t="n">
        <v>24</v>
      </c>
      <c r="P13" s="10" t="n">
        <v>24</v>
      </c>
      <c r="Q13" s="10" t="n">
        <v>24</v>
      </c>
      <c r="R13" s="10" t="n">
        <v>28</v>
      </c>
      <c r="S13" s="10" t="n">
        <v>22.1</v>
      </c>
      <c r="T13" s="10" t="n">
        <v>28.2</v>
      </c>
      <c r="U13" s="10" t="n">
        <v>25</v>
      </c>
      <c r="V13" s="10" t="n">
        <v>25</v>
      </c>
      <c r="W13" s="10" t="n">
        <v>25</v>
      </c>
      <c r="X13" s="10" t="n">
        <v>22</v>
      </c>
      <c r="Y13" s="10" t="n">
        <v>22</v>
      </c>
      <c r="Z13" s="10" t="n">
        <v>22.5</v>
      </c>
      <c r="AA13" s="10" t="n">
        <v>24.4</v>
      </c>
      <c r="AB13" s="10" t="n">
        <v>24.4</v>
      </c>
      <c r="AC13" s="10" t="n">
        <v>25</v>
      </c>
      <c r="AD13" s="10" t="n">
        <v>24</v>
      </c>
      <c r="AE13" s="10" t="n">
        <v>31</v>
      </c>
      <c r="AF13" s="10" t="n">
        <v>44</v>
      </c>
      <c r="AG13" s="10" t="n">
        <v>31</v>
      </c>
      <c r="AH13" s="10" t="n">
        <v>31</v>
      </c>
      <c r="AI13" s="10" t="n">
        <v>26</v>
      </c>
      <c r="AJ13" s="10" t="n">
        <v>26</v>
      </c>
      <c r="AK13" s="10" t="n">
        <v>22</v>
      </c>
      <c r="AL13" s="10" t="n">
        <v>22</v>
      </c>
      <c r="AM13" s="10" t="n">
        <v>22</v>
      </c>
      <c r="AN13" s="10" t="n">
        <v>20</v>
      </c>
      <c r="AO13" s="10" t="n">
        <v>25</v>
      </c>
      <c r="AP13" s="10" t="n">
        <v>25</v>
      </c>
      <c r="AQ13" s="10" t="n">
        <v>23</v>
      </c>
      <c r="AR13" s="10" t="n">
        <v>23</v>
      </c>
      <c r="AS13" s="10" t="n">
        <v>23</v>
      </c>
      <c r="AT13" s="10" t="n">
        <v>20</v>
      </c>
      <c r="AU13" s="10" t="n">
        <v>21</v>
      </c>
      <c r="AV13" s="10" t="n">
        <v>21</v>
      </c>
      <c r="AW13" s="10" t="n">
        <v>21</v>
      </c>
      <c r="AX13" s="10" t="n">
        <v>21</v>
      </c>
      <c r="AY13" s="10" t="n">
        <v>21</v>
      </c>
    </row>
    <row r="14">
      <c r="A14" s="4" t="inlineStr">
        <is>
          <t>Taille portion (g)</t>
        </is>
      </c>
      <c r="B14" s="9" t="n">
        <v>30</v>
      </c>
      <c r="C14" s="9" t="n">
        <v>30</v>
      </c>
      <c r="D14" s="9" t="n">
        <v>30</v>
      </c>
      <c r="E14" s="9" t="n">
        <v>35</v>
      </c>
      <c r="F14" s="9" t="n">
        <v>35</v>
      </c>
      <c r="G14" s="10" t="n">
        <v>30</v>
      </c>
      <c r="H14" s="10" t="n">
        <v>30</v>
      </c>
      <c r="I14" s="10" t="n">
        <v>30</v>
      </c>
      <c r="J14" s="10" t="n">
        <v>30</v>
      </c>
      <c r="K14" s="10" t="n">
        <v>30</v>
      </c>
      <c r="L14" s="10" t="n">
        <v>30</v>
      </c>
      <c r="M14" s="10" t="n">
        <v>30</v>
      </c>
      <c r="N14" s="10" t="n">
        <v>30</v>
      </c>
      <c r="O14" s="10" t="n">
        <v>30</v>
      </c>
      <c r="P14" s="10" t="n">
        <v>30</v>
      </c>
      <c r="Q14" s="10" t="n">
        <v>30</v>
      </c>
      <c r="R14" s="10" t="n">
        <v>30</v>
      </c>
      <c r="S14" s="10" t="n">
        <v>30</v>
      </c>
      <c r="T14" s="10" t="n">
        <v>30</v>
      </c>
      <c r="U14" s="10" t="n">
        <v>30</v>
      </c>
      <c r="V14" s="10" t="n">
        <v>30</v>
      </c>
      <c r="W14" s="10" t="n">
        <v>30</v>
      </c>
      <c r="X14" s="10" t="n">
        <v>30</v>
      </c>
      <c r="Y14" s="10" t="n">
        <v>30</v>
      </c>
      <c r="Z14" s="10" t="n">
        <v>30</v>
      </c>
      <c r="AA14" s="10" t="n">
        <v>30</v>
      </c>
      <c r="AB14" s="10" t="n">
        <v>30</v>
      </c>
      <c r="AC14" s="10" t="n">
        <v>30</v>
      </c>
      <c r="AD14" s="10" t="n">
        <v>30</v>
      </c>
      <c r="AE14" s="10" t="n">
        <v>40</v>
      </c>
      <c r="AF14" s="10" t="n">
        <v>60</v>
      </c>
      <c r="AG14" s="10" t="n">
        <v>40</v>
      </c>
      <c r="AH14" s="10" t="n">
        <v>40</v>
      </c>
      <c r="AI14" s="10" t="n">
        <v>30</v>
      </c>
      <c r="AJ14" s="10" t="n">
        <v>30</v>
      </c>
      <c r="AK14" s="10" t="n">
        <v>30</v>
      </c>
      <c r="AL14" s="10" t="n">
        <v>30</v>
      </c>
      <c r="AM14" s="10" t="n">
        <v>30</v>
      </c>
      <c r="AN14" s="10" t="n">
        <v>30</v>
      </c>
      <c r="AO14" s="10" t="n">
        <v>25</v>
      </c>
      <c r="AP14" s="10" t="n">
        <v>25</v>
      </c>
      <c r="AQ14" s="10" t="n">
        <v>25</v>
      </c>
      <c r="AR14" s="10" t="n">
        <v>25</v>
      </c>
      <c r="AS14" s="10" t="n">
        <v>25</v>
      </c>
      <c r="AT14" s="10" t="n">
        <v>25</v>
      </c>
      <c r="AU14" s="10" t="n">
        <v>25</v>
      </c>
      <c r="AV14" s="10" t="n">
        <v>25</v>
      </c>
      <c r="AW14" s="10" t="n">
        <v>30</v>
      </c>
      <c r="AX14" s="10" t="n">
        <v>30</v>
      </c>
      <c r="AY14" s="10" t="n">
        <v>30</v>
      </c>
    </row>
    <row r="15">
      <c r="A15" s="4" t="inlineStr">
        <is>
          <t>Nb portions / format</t>
        </is>
      </c>
      <c r="B15" s="9" t="n">
        <v>25</v>
      </c>
      <c r="C15" s="9" t="n">
        <v>25</v>
      </c>
      <c r="D15" s="9" t="n">
        <v>25</v>
      </c>
      <c r="E15" s="9" t="n">
        <v>15</v>
      </c>
      <c r="F15" s="9" t="n">
        <v>15</v>
      </c>
      <c r="G15" s="10" t="n">
        <v>25</v>
      </c>
      <c r="H15" s="10" t="n">
        <v>66</v>
      </c>
      <c r="I15" s="10" t="n">
        <v>133</v>
      </c>
      <c r="J15" s="10" t="n">
        <v>16</v>
      </c>
      <c r="K15" s="10" t="n">
        <v>33</v>
      </c>
      <c r="L15" s="10" t="n">
        <v>75</v>
      </c>
      <c r="M15" s="10" t="n">
        <v>133</v>
      </c>
      <c r="N15" s="10" t="n">
        <v>16</v>
      </c>
      <c r="O15" s="10" t="n">
        <v>33</v>
      </c>
      <c r="P15" s="10" t="n">
        <v>75</v>
      </c>
      <c r="Q15" s="10" t="n">
        <v>133</v>
      </c>
      <c r="R15" s="10" t="n">
        <v>30</v>
      </c>
      <c r="S15" s="10" t="n">
        <v>30</v>
      </c>
      <c r="T15" s="10" t="n">
        <v>27</v>
      </c>
      <c r="U15" s="10" t="n">
        <v>16</v>
      </c>
      <c r="V15" s="10" t="n">
        <v>50</v>
      </c>
      <c r="W15" s="10" t="n">
        <v>66</v>
      </c>
      <c r="X15" s="10" t="n">
        <v>16</v>
      </c>
      <c r="Y15" s="10" t="n">
        <v>50</v>
      </c>
      <c r="Z15" s="10" t="n">
        <v>66</v>
      </c>
      <c r="AA15" s="10" t="n">
        <v>25</v>
      </c>
      <c r="AB15" s="10" t="n">
        <v>66</v>
      </c>
      <c r="AC15" s="10" t="n">
        <v>25</v>
      </c>
      <c r="AD15" s="10" t="n">
        <v>25</v>
      </c>
      <c r="AE15" s="10" t="n">
        <v>19</v>
      </c>
      <c r="AF15" s="10" t="n">
        <v>12</v>
      </c>
      <c r="AG15" s="10" t="n">
        <v>21</v>
      </c>
      <c r="AH15" s="10" t="n">
        <v>55</v>
      </c>
      <c r="AI15" s="10" t="n">
        <v>33</v>
      </c>
      <c r="AJ15" s="10" t="n">
        <v>83</v>
      </c>
      <c r="AK15" s="10" t="n">
        <v>33</v>
      </c>
      <c r="AL15" s="10" t="n">
        <v>83</v>
      </c>
      <c r="AM15" s="10" t="n">
        <v>166</v>
      </c>
      <c r="AN15" s="10" t="n">
        <v>16</v>
      </c>
      <c r="AO15" s="10" t="n">
        <v>40</v>
      </c>
      <c r="AP15" s="10" t="n">
        <v>100</v>
      </c>
      <c r="AQ15" s="10" t="n">
        <v>40</v>
      </c>
      <c r="AR15" s="10" t="n">
        <v>100</v>
      </c>
      <c r="AS15" s="10" t="n">
        <v>200</v>
      </c>
      <c r="AT15" s="10" t="n">
        <v>35</v>
      </c>
      <c r="AU15" s="10" t="n">
        <v>36</v>
      </c>
      <c r="AV15" s="10" t="n">
        <v>72</v>
      </c>
      <c r="AW15" s="10" t="n">
        <v>13</v>
      </c>
      <c r="AX15" s="10" t="n">
        <v>33</v>
      </c>
      <c r="AY15" s="10" t="n">
        <v>66</v>
      </c>
    </row>
    <row r="16">
      <c r="A16" s="4" t="inlineStr">
        <is>
          <t>BCAA / portion (g)</t>
        </is>
      </c>
      <c r="B16" s="9" t="n">
        <v>5.3</v>
      </c>
      <c r="C16" s="9" t="n">
        <v>5.3</v>
      </c>
      <c r="D16" s="9" t="n">
        <v>5.3</v>
      </c>
      <c r="E16" s="9" t="n"/>
      <c r="F16" s="9" t="n"/>
      <c r="G16" s="10" t="n">
        <v>5</v>
      </c>
      <c r="H16" s="10" t="n">
        <v>5</v>
      </c>
      <c r="I16" s="10" t="n">
        <v>5</v>
      </c>
      <c r="J16" s="10" t="n">
        <v>6</v>
      </c>
      <c r="K16" s="10" t="n">
        <v>6</v>
      </c>
      <c r="L16" s="10" t="n">
        <v>6</v>
      </c>
      <c r="M16" s="10" t="n">
        <v>6</v>
      </c>
      <c r="N16" s="10" t="n">
        <v>5</v>
      </c>
      <c r="O16" s="10" t="n">
        <v>5</v>
      </c>
      <c r="P16" s="10" t="n">
        <v>5</v>
      </c>
      <c r="Q16" s="10" t="n">
        <v>5</v>
      </c>
      <c r="R16" s="10" t="n">
        <v>6.9</v>
      </c>
      <c r="S16" s="10" t="n">
        <v>5.1</v>
      </c>
      <c r="T16" s="10" t="n">
        <v>6.6</v>
      </c>
      <c r="U16" s="10" t="n">
        <v>5.66</v>
      </c>
      <c r="V16" s="10" t="n">
        <v>5.66</v>
      </c>
      <c r="W16" s="10" t="n">
        <v>5.66</v>
      </c>
      <c r="X16" s="10" t="n">
        <v>3.74</v>
      </c>
      <c r="Y16" s="10" t="n">
        <v>3.74</v>
      </c>
      <c r="Z16" s="10" t="n"/>
      <c r="AA16" s="10" t="n">
        <v>4.1</v>
      </c>
      <c r="AB16" s="10" t="n">
        <v>4.1</v>
      </c>
      <c r="AC16" s="10" t="n">
        <v>5.5</v>
      </c>
      <c r="AD16" s="10" t="n">
        <v>5.2</v>
      </c>
      <c r="AE16" s="10" t="n">
        <v>7</v>
      </c>
      <c r="AF16" s="10" t="n">
        <v>10</v>
      </c>
      <c r="AG16" s="10" t="n">
        <v>7</v>
      </c>
      <c r="AH16" s="10" t="n">
        <v>7</v>
      </c>
      <c r="AI16" s="10" t="n">
        <v>5.5</v>
      </c>
      <c r="AJ16" s="10" t="n">
        <v>5.5</v>
      </c>
      <c r="AK16" s="10" t="n">
        <v>5</v>
      </c>
      <c r="AL16" s="10" t="n">
        <v>5</v>
      </c>
      <c r="AM16" s="10" t="n">
        <v>5</v>
      </c>
      <c r="AN16" s="10" t="n">
        <v>4</v>
      </c>
      <c r="AO16" s="10" t="n">
        <v>5.5</v>
      </c>
      <c r="AP16" s="10" t="n">
        <v>5.5</v>
      </c>
      <c r="AQ16" s="10" t="n">
        <v>4.5</v>
      </c>
      <c r="AR16" s="10" t="n">
        <v>4.5</v>
      </c>
      <c r="AS16" s="10" t="n">
        <v>4.5</v>
      </c>
      <c r="AT16" s="10" t="n">
        <v>4</v>
      </c>
      <c r="AU16" s="10" t="n">
        <v>4.35</v>
      </c>
      <c r="AV16" s="10" t="n">
        <v>4.35</v>
      </c>
      <c r="AW16" s="10" t="n"/>
      <c r="AX16" s="10" t="n"/>
      <c r="AY16" s="10" t="n"/>
    </row>
    <row r="17">
      <c r="A17" s="4" t="inlineStr">
        <is>
          <t>Glucides / portion (g)</t>
        </is>
      </c>
      <c r="B17" s="9" t="n">
        <v>1</v>
      </c>
      <c r="C17" s="9" t="n">
        <v>1</v>
      </c>
      <c r="D17" s="9" t="n">
        <v>1</v>
      </c>
      <c r="E17" s="9" t="n"/>
      <c r="F17" s="9" t="n"/>
      <c r="G17" s="10" t="n">
        <v>0.3</v>
      </c>
      <c r="H17" s="10" t="n">
        <v>0.3</v>
      </c>
      <c r="I17" s="10" t="n">
        <v>0.3</v>
      </c>
      <c r="J17" s="10" t="n">
        <v>1.5</v>
      </c>
      <c r="K17" s="10" t="n">
        <v>1.5</v>
      </c>
      <c r="L17" s="10" t="n">
        <v>1.5</v>
      </c>
      <c r="M17" s="10" t="n">
        <v>1.5</v>
      </c>
      <c r="N17" s="10" t="n">
        <v>3.5</v>
      </c>
      <c r="O17" s="10" t="n">
        <v>3.5</v>
      </c>
      <c r="P17" s="10" t="n">
        <v>3.5</v>
      </c>
      <c r="Q17" s="10" t="n">
        <v>3.5</v>
      </c>
      <c r="R17" s="10" t="n">
        <v>0.9</v>
      </c>
      <c r="S17" s="10" t="n">
        <v>4</v>
      </c>
      <c r="T17" s="10" t="n">
        <v>0.5</v>
      </c>
      <c r="U17" s="10" t="n">
        <v>0.5</v>
      </c>
      <c r="V17" s="10" t="n">
        <v>0.5</v>
      </c>
      <c r="W17" s="10" t="n">
        <v>0.5</v>
      </c>
      <c r="X17" s="10" t="n"/>
      <c r="Y17" s="10" t="n"/>
      <c r="Z17" s="10" t="n">
        <v>3</v>
      </c>
      <c r="AA17" s="10" t="n">
        <v>1.4</v>
      </c>
      <c r="AB17" s="10" t="n">
        <v>1.4</v>
      </c>
      <c r="AC17" s="10" t="n">
        <v>1.4</v>
      </c>
      <c r="AD17" s="10" t="n">
        <v>0.5</v>
      </c>
      <c r="AE17" s="10" t="n">
        <v>4</v>
      </c>
      <c r="AF17" s="10" t="n">
        <v>4.3</v>
      </c>
      <c r="AG17" s="10" t="n">
        <v>4</v>
      </c>
      <c r="AH17" s="10" t="n">
        <v>4</v>
      </c>
      <c r="AI17" s="10" t="n">
        <v>1.5</v>
      </c>
      <c r="AJ17" s="10" t="n">
        <v>1.5</v>
      </c>
      <c r="AK17" s="10" t="n">
        <v>2</v>
      </c>
      <c r="AL17" s="10" t="n">
        <v>2</v>
      </c>
      <c r="AM17" s="10" t="n">
        <v>2</v>
      </c>
      <c r="AN17" s="10" t="n">
        <v>0.5</v>
      </c>
      <c r="AO17" s="10" t="n">
        <v>1</v>
      </c>
      <c r="AP17" s="10" t="n">
        <v>1</v>
      </c>
      <c r="AQ17" s="10" t="n">
        <v>2</v>
      </c>
      <c r="AR17" s="10" t="n">
        <v>2</v>
      </c>
      <c r="AS17" s="10" t="n">
        <v>2</v>
      </c>
      <c r="AT17" s="10" t="n">
        <v>0.5</v>
      </c>
      <c r="AU17" s="10" t="n">
        <v>0.6</v>
      </c>
      <c r="AV17" s="10" t="n">
        <v>0.6</v>
      </c>
      <c r="AW17" s="10" t="n">
        <v>1.4</v>
      </c>
      <c r="AX17" s="10" t="n">
        <v>1.4</v>
      </c>
      <c r="AY17" s="10" t="n">
        <v>1.4</v>
      </c>
    </row>
    <row r="18">
      <c r="A18" s="4" t="inlineStr">
        <is>
          <t>Lipides / portion (g)</t>
        </is>
      </c>
      <c r="B18" s="9" t="n">
        <v>0.5</v>
      </c>
      <c r="C18" s="9" t="n">
        <v>0.5</v>
      </c>
      <c r="D18" s="9" t="n">
        <v>0.5</v>
      </c>
      <c r="E18" s="9" t="n"/>
      <c r="F18" s="9" t="n"/>
      <c r="G18" s="10" t="n">
        <v>0.2</v>
      </c>
      <c r="H18" s="10" t="n">
        <v>0.2</v>
      </c>
      <c r="I18" s="10" t="n">
        <v>0.2</v>
      </c>
      <c r="J18" s="10" t="n">
        <v>0.8</v>
      </c>
      <c r="K18" s="10" t="n">
        <v>0.8</v>
      </c>
      <c r="L18" s="10" t="n">
        <v>0.8</v>
      </c>
      <c r="M18" s="10" t="n">
        <v>0.8</v>
      </c>
      <c r="N18" s="10" t="n">
        <v>1.5</v>
      </c>
      <c r="O18" s="10" t="n">
        <v>1.5</v>
      </c>
      <c r="P18" s="10" t="n">
        <v>1.5</v>
      </c>
      <c r="Q18" s="10" t="n">
        <v>1.5</v>
      </c>
      <c r="R18" s="10" t="n">
        <v>0.6</v>
      </c>
      <c r="S18" s="10" t="n">
        <v>0.4</v>
      </c>
      <c r="T18" s="10" t="n">
        <v>0.4</v>
      </c>
      <c r="U18" s="10" t="n">
        <v>0.4</v>
      </c>
      <c r="V18" s="10" t="n">
        <v>0.4</v>
      </c>
      <c r="W18" s="10" t="n">
        <v>0.4</v>
      </c>
      <c r="X18" s="10" t="n"/>
      <c r="Y18" s="10" t="n"/>
      <c r="Z18" s="10" t="n">
        <v>1.4</v>
      </c>
      <c r="AA18" s="10" t="n">
        <v>1.6</v>
      </c>
      <c r="AB18" s="10" t="n">
        <v>1.6</v>
      </c>
      <c r="AC18" s="10" t="n">
        <v>0.5</v>
      </c>
      <c r="AD18" s="10" t="n">
        <v>0.3</v>
      </c>
      <c r="AE18" s="10" t="n">
        <v>1.7</v>
      </c>
      <c r="AF18" s="10" t="n">
        <v>2</v>
      </c>
      <c r="AG18" s="10" t="n">
        <v>1.7</v>
      </c>
      <c r="AH18" s="10" t="n">
        <v>1.7</v>
      </c>
      <c r="AI18" s="10" t="n">
        <v>0.5</v>
      </c>
      <c r="AJ18" s="10" t="n">
        <v>0.5</v>
      </c>
      <c r="AK18" s="10" t="n">
        <v>1</v>
      </c>
      <c r="AL18" s="10" t="n">
        <v>1</v>
      </c>
      <c r="AM18" s="10" t="n">
        <v>1</v>
      </c>
      <c r="AN18" s="10" t="n">
        <v>0.1</v>
      </c>
      <c r="AO18" s="10" t="n">
        <v>0.5</v>
      </c>
      <c r="AP18" s="10" t="n">
        <v>0.5</v>
      </c>
      <c r="AQ18" s="10" t="n">
        <v>1</v>
      </c>
      <c r="AR18" s="10" t="n">
        <v>1</v>
      </c>
      <c r="AS18" s="10" t="n">
        <v>1</v>
      </c>
      <c r="AT18" s="10" t="n">
        <v>0.1</v>
      </c>
      <c r="AU18" s="10" t="n">
        <v>0.4</v>
      </c>
      <c r="AV18" s="10" t="n">
        <v>0.4</v>
      </c>
      <c r="AW18" s="10" t="n">
        <v>1.8</v>
      </c>
      <c r="AX18" s="10" t="n">
        <v>1.8</v>
      </c>
      <c r="AY18" s="10" t="n">
        <v>1.8</v>
      </c>
    </row>
    <row r="19">
      <c r="A19" s="4" t="inlineStr">
        <is>
          <t>Lactose</t>
        </is>
      </c>
      <c r="B19" s="9" t="inlineStr">
        <is>
          <t>faible</t>
        </is>
      </c>
      <c r="C19" s="9" t="inlineStr">
        <is>
          <t>faible</t>
        </is>
      </c>
      <c r="D19" s="9" t="inlineStr">
        <is>
          <t>faible</t>
        </is>
      </c>
      <c r="E19" s="9" t="inlineStr">
        <is>
          <t>present</t>
        </is>
      </c>
      <c r="F19" s="9" t="inlineStr">
        <is>
          <t>present</t>
        </is>
      </c>
      <c r="G19" s="10" t="inlineStr">
        <is>
          <t>tres_faible</t>
        </is>
      </c>
      <c r="H19" s="10" t="inlineStr">
        <is>
          <t>tres_faible</t>
        </is>
      </c>
      <c r="I19" s="10" t="inlineStr">
        <is>
          <t>tres_faible</t>
        </is>
      </c>
      <c r="J19" s="10" t="inlineStr">
        <is>
          <t>faible</t>
        </is>
      </c>
      <c r="K19" s="10" t="inlineStr">
        <is>
          <t>faible</t>
        </is>
      </c>
      <c r="L19" s="10" t="inlineStr">
        <is>
          <t>faible</t>
        </is>
      </c>
      <c r="M19" s="10" t="inlineStr">
        <is>
          <t>faible</t>
        </is>
      </c>
      <c r="N19" s="10" t="inlineStr">
        <is>
          <t>present</t>
        </is>
      </c>
      <c r="O19" s="10" t="inlineStr">
        <is>
          <t>present</t>
        </is>
      </c>
      <c r="P19" s="10" t="inlineStr">
        <is>
          <t>present</t>
        </is>
      </c>
      <c r="Q19" s="10" t="inlineStr">
        <is>
          <t>present</t>
        </is>
      </c>
      <c r="R19" s="10" t="inlineStr">
        <is>
          <t>tres_faible</t>
        </is>
      </c>
      <c r="S19" s="10" t="inlineStr">
        <is>
          <t>faible</t>
        </is>
      </c>
      <c r="T19" s="10" t="inlineStr">
        <is>
          <t>faible</t>
        </is>
      </c>
      <c r="U19" s="10" t="inlineStr">
        <is>
          <t>tres_faible</t>
        </is>
      </c>
      <c r="V19" s="10" t="inlineStr">
        <is>
          <t>tres_faible</t>
        </is>
      </c>
      <c r="W19" s="10" t="inlineStr">
        <is>
          <t>tres_faible</t>
        </is>
      </c>
      <c r="X19" s="10" t="n"/>
      <c r="Y19" s="10" t="n"/>
      <c r="Z19" s="10" t="n"/>
      <c r="AA19" s="10" t="inlineStr">
        <is>
          <t>faible</t>
        </is>
      </c>
      <c r="AB19" s="10" t="inlineStr">
        <is>
          <t>faible</t>
        </is>
      </c>
      <c r="AC19" s="10" t="inlineStr">
        <is>
          <t>tres_faible</t>
        </is>
      </c>
      <c r="AD19" s="10" t="inlineStr">
        <is>
          <t>tres_faible</t>
        </is>
      </c>
      <c r="AE19" s="10" t="n"/>
      <c r="AF19" s="10" t="inlineStr">
        <is>
          <t>present</t>
        </is>
      </c>
      <c r="AG19" s="10" t="n"/>
      <c r="AH19" s="10" t="n"/>
      <c r="AI19" s="10" t="inlineStr">
        <is>
          <t>faible</t>
        </is>
      </c>
      <c r="AJ19" s="10" t="inlineStr">
        <is>
          <t>faible</t>
        </is>
      </c>
      <c r="AK19" s="10" t="inlineStr">
        <is>
          <t>present</t>
        </is>
      </c>
      <c r="AL19" s="10" t="inlineStr">
        <is>
          <t>present</t>
        </is>
      </c>
      <c r="AM19" s="10" t="inlineStr">
        <is>
          <t>present</t>
        </is>
      </c>
      <c r="AN19" s="10" t="inlineStr">
        <is>
          <t>tres_faible</t>
        </is>
      </c>
      <c r="AO19" s="10" t="inlineStr">
        <is>
          <t>faible</t>
        </is>
      </c>
      <c r="AP19" s="10" t="inlineStr">
        <is>
          <t>faible</t>
        </is>
      </c>
      <c r="AQ19" s="10" t="inlineStr">
        <is>
          <t>present</t>
        </is>
      </c>
      <c r="AR19" s="10" t="inlineStr">
        <is>
          <t>present</t>
        </is>
      </c>
      <c r="AS19" s="10" t="inlineStr">
        <is>
          <t>present</t>
        </is>
      </c>
      <c r="AT19" s="10" t="inlineStr">
        <is>
          <t>tres_faible</t>
        </is>
      </c>
      <c r="AU19" s="10" t="inlineStr">
        <is>
          <t>tres_faible</t>
        </is>
      </c>
      <c r="AV19" s="10" t="inlineStr">
        <is>
          <t>tres_faible</t>
        </is>
      </c>
      <c r="AW19" s="10" t="n"/>
      <c r="AX19" s="10" t="n"/>
      <c r="AY19" s="10" t="n"/>
    </row>
    <row r="20" ht="15.5" customHeight="1" s="24">
      <c r="A20" s="7" t="inlineStr">
        <is>
          <t>PRIX — 3 COUCHES (nominal / current / marché médian)</t>
        </is>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c r="AY20" s="8" t="n"/>
    </row>
    <row r="21">
      <c r="A21" s="4" t="inlineStr">
        <is>
          <t>Prix nominal (site propre, barré)</t>
        </is>
      </c>
      <c r="B21" s="9" t="n">
        <v>39.9</v>
      </c>
      <c r="C21" s="9" t="n">
        <v>39.9</v>
      </c>
      <c r="D21" s="9" t="n">
        <v>37.9</v>
      </c>
      <c r="E21" s="9" t="n">
        <v>39.9</v>
      </c>
      <c r="F21" s="9" t="n">
        <v>39.9</v>
      </c>
      <c r="G21" s="10" t="n">
        <v>39.9</v>
      </c>
      <c r="H21" s="10" t="n">
        <v>104.9</v>
      </c>
      <c r="I21" s="10" t="n">
        <v>179.9</v>
      </c>
      <c r="J21" s="10" t="n">
        <v>31.95</v>
      </c>
      <c r="K21" s="10" t="n">
        <v>57.95</v>
      </c>
      <c r="L21" s="10" t="n">
        <v>116.95</v>
      </c>
      <c r="M21" s="10" t="n">
        <v>190.95</v>
      </c>
      <c r="N21" s="10" t="n">
        <v>19.95</v>
      </c>
      <c r="O21" s="10" t="n">
        <v>37.95</v>
      </c>
      <c r="P21" s="10" t="n">
        <v>80.95</v>
      </c>
      <c r="Q21" s="10" t="n">
        <v>131.95</v>
      </c>
      <c r="R21" s="10" t="n">
        <v>54.9</v>
      </c>
      <c r="S21" s="10" t="n">
        <v>39.9</v>
      </c>
      <c r="T21" s="10" t="n">
        <v>45.95</v>
      </c>
      <c r="U21" s="10" t="n">
        <v>33.9</v>
      </c>
      <c r="V21" s="10" t="n">
        <v>79.90000000000001</v>
      </c>
      <c r="W21" s="10" t="n">
        <v>94.90000000000001</v>
      </c>
      <c r="X21" s="10" t="n">
        <v>29.9</v>
      </c>
      <c r="Y21" s="10" t="n">
        <v>59.9</v>
      </c>
      <c r="Z21" s="10" t="n">
        <v>82.90000000000001</v>
      </c>
      <c r="AA21" s="10" t="n">
        <v>41.9</v>
      </c>
      <c r="AB21" s="10" t="n">
        <v>65.90000000000001</v>
      </c>
      <c r="AC21" s="10" t="n">
        <v>45.9</v>
      </c>
      <c r="AD21" s="10" t="n">
        <v>45.9</v>
      </c>
      <c r="AE21" s="10" t="n">
        <v>34.9</v>
      </c>
      <c r="AF21" s="10" t="n">
        <v>39.99</v>
      </c>
      <c r="AG21" s="10" t="n">
        <v>38.9</v>
      </c>
      <c r="AH21" s="10" t="n">
        <v>80.98999999999999</v>
      </c>
      <c r="AI21" s="10" t="n">
        <v>69.98999999999999</v>
      </c>
      <c r="AJ21" s="10" t="n">
        <v>159.99</v>
      </c>
      <c r="AK21" s="10" t="n">
        <v>37.99</v>
      </c>
      <c r="AL21" s="10" t="n">
        <v>84.98999999999999</v>
      </c>
      <c r="AM21" s="10" t="n">
        <v>159.99</v>
      </c>
      <c r="AN21" s="10" t="n">
        <v>31.49</v>
      </c>
      <c r="AO21" s="10" t="n">
        <v>57.99</v>
      </c>
      <c r="AP21" s="10" t="n">
        <v>124.99</v>
      </c>
      <c r="AQ21" s="10" t="n">
        <v>41.99</v>
      </c>
      <c r="AR21" s="10" t="n">
        <v>84.98999999999999</v>
      </c>
      <c r="AS21" s="10" t="n">
        <v>188.99</v>
      </c>
      <c r="AT21" s="10" t="n">
        <v>49.99</v>
      </c>
      <c r="AU21" s="10" t="n">
        <v>69.90000000000001</v>
      </c>
      <c r="AV21" s="10" t="n">
        <v>104.9</v>
      </c>
      <c r="AW21" s="10" t="n">
        <v>32.9</v>
      </c>
      <c r="AX21" s="10" t="n">
        <v>54.9</v>
      </c>
      <c r="AY21" s="10" t="n">
        <v>89.90000000000001</v>
      </c>
    </row>
    <row r="22">
      <c r="A22" s="4" t="inlineStr">
        <is>
          <t>Prix actuel (site propre, affiché)</t>
        </is>
      </c>
      <c r="B22" s="9" t="n">
        <v>39.9</v>
      </c>
      <c r="C22" s="9" t="n">
        <v>39.9</v>
      </c>
      <c r="D22" s="9" t="n">
        <v>37.9</v>
      </c>
      <c r="E22" s="9" t="n">
        <v>39.9</v>
      </c>
      <c r="F22" s="9" t="n">
        <v>39.9</v>
      </c>
      <c r="G22" s="10" t="n">
        <v>39.9</v>
      </c>
      <c r="H22" s="10" t="n">
        <v>104.9</v>
      </c>
      <c r="I22" s="10" t="n">
        <v>179.9</v>
      </c>
      <c r="J22" s="10" t="n">
        <v>31.95</v>
      </c>
      <c r="K22" s="10" t="n">
        <v>57.95</v>
      </c>
      <c r="L22" s="10" t="n">
        <v>116.95</v>
      </c>
      <c r="M22" s="10" t="n">
        <v>190.95</v>
      </c>
      <c r="N22" s="10" t="n">
        <v>19.95</v>
      </c>
      <c r="O22" s="10" t="n">
        <v>37.95</v>
      </c>
      <c r="P22" s="10" t="n">
        <v>80.95</v>
      </c>
      <c r="Q22" s="10" t="n">
        <v>131.95</v>
      </c>
      <c r="R22" s="10" t="n">
        <v>54.9</v>
      </c>
      <c r="S22" s="10" t="n">
        <v>39.9</v>
      </c>
      <c r="T22" s="10" t="n">
        <v>45.95</v>
      </c>
      <c r="U22" s="10" t="n">
        <v>33.9</v>
      </c>
      <c r="V22" s="10" t="n">
        <v>79.90000000000001</v>
      </c>
      <c r="W22" s="10" t="n">
        <v>94.90000000000001</v>
      </c>
      <c r="X22" s="10" t="n">
        <v>29.9</v>
      </c>
      <c r="Y22" s="10" t="n">
        <v>59.9</v>
      </c>
      <c r="Z22" s="10" t="n">
        <v>82.90000000000001</v>
      </c>
      <c r="AA22" s="10" t="n">
        <v>41.9</v>
      </c>
      <c r="AB22" s="10" t="n">
        <v>65.90000000000001</v>
      </c>
      <c r="AC22" s="10" t="n">
        <v>45.9</v>
      </c>
      <c r="AD22" s="10" t="n">
        <v>45.9</v>
      </c>
      <c r="AE22" s="10" t="n">
        <v>34.9</v>
      </c>
      <c r="AF22" s="10" t="n">
        <v>39.99</v>
      </c>
      <c r="AG22" s="10" t="n">
        <v>38.9</v>
      </c>
      <c r="AH22" s="10" t="n">
        <v>80.98999999999999</v>
      </c>
      <c r="AI22" s="10" t="n">
        <v>44.99</v>
      </c>
      <c r="AJ22" s="10" t="n">
        <v>99.98999999999999</v>
      </c>
      <c r="AK22" s="10" t="n">
        <v>27.99</v>
      </c>
      <c r="AL22" s="10" t="n">
        <v>64.98999999999999</v>
      </c>
      <c r="AM22" s="10" t="n">
        <v>129.99</v>
      </c>
      <c r="AN22" s="10" t="n">
        <v>25.99</v>
      </c>
      <c r="AO22" s="10" t="n">
        <v>57.99</v>
      </c>
      <c r="AP22" s="10" t="n">
        <v>124.99</v>
      </c>
      <c r="AQ22" s="10" t="n">
        <v>17.99</v>
      </c>
      <c r="AR22" s="10" t="n">
        <v>40.99</v>
      </c>
      <c r="AS22" s="10" t="n">
        <v>91.09999999999999</v>
      </c>
      <c r="AT22" s="10" t="n">
        <v>49.99</v>
      </c>
      <c r="AU22" s="10" t="n">
        <v>69.90000000000001</v>
      </c>
      <c r="AV22" s="10" t="n">
        <v>104.9</v>
      </c>
      <c r="AW22" s="10" t="n">
        <v>32.9</v>
      </c>
      <c r="AX22" s="10" t="n">
        <v>54.9</v>
      </c>
      <c r="AY22" s="10" t="n">
        <v>89.90000000000001</v>
      </c>
    </row>
    <row r="23">
      <c r="A23" s="4" t="inlineStr">
        <is>
          <t>Prix médian marché (idealo/ledenicheur)</t>
        </is>
      </c>
      <c r="B23" s="9" t="n"/>
      <c r="C23" s="9" t="n"/>
      <c r="D23" s="9" t="n"/>
      <c r="E23" s="9" t="n"/>
      <c r="F23" s="9"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v>23.99</v>
      </c>
      <c r="AL23" s="10" t="n"/>
      <c r="AM23" s="10" t="n"/>
      <c r="AN23" s="10" t="n">
        <v>22.25</v>
      </c>
      <c r="AO23" s="10" t="n">
        <v>56.4</v>
      </c>
      <c r="AP23" s="10" t="n"/>
      <c r="AQ23" s="10" t="n">
        <v>34.99</v>
      </c>
      <c r="AR23" s="10" t="n">
        <v>56.4</v>
      </c>
      <c r="AS23" s="10" t="n">
        <v>188.99</v>
      </c>
      <c r="AT23" s="10" t="n"/>
      <c r="AU23" s="10" t="n"/>
      <c r="AV23" s="10" t="n"/>
      <c r="AW23" s="10" t="n"/>
      <c r="AX23" s="10" t="n">
        <v>27.02</v>
      </c>
      <c r="AY23" s="10" t="n"/>
    </row>
    <row r="24">
      <c r="A24" s="4" t="inlineStr">
        <is>
          <t>Écart nominal → actuel (%)</t>
        </is>
      </c>
      <c r="B24" s="11">
        <f>IFERROR((B21-B22)/B21*100,"")</f>
        <v/>
      </c>
      <c r="C24" s="11">
        <f>IFERROR((C21-C22)/C21*100,"")</f>
        <v/>
      </c>
      <c r="D24" s="11">
        <f>IFERROR((D21-D22)/D21*100,"")</f>
        <v/>
      </c>
      <c r="E24" s="11">
        <f>IFERROR((E21-E22)/E21*100,"")</f>
        <v/>
      </c>
      <c r="F24" s="11">
        <f>IFERROR((F21-F22)/F21*100,"")</f>
        <v/>
      </c>
      <c r="G24" s="12">
        <f>IFERROR((G21-G22)/G21*100,"")</f>
        <v/>
      </c>
      <c r="H24" s="12">
        <f>IFERROR((H21-H22)/H21*100,"")</f>
        <v/>
      </c>
      <c r="I24" s="12">
        <f>IFERROR((I21-I22)/I21*100,"")</f>
        <v/>
      </c>
      <c r="J24" s="12">
        <f>IFERROR((J21-J22)/J21*100,"")</f>
        <v/>
      </c>
      <c r="K24" s="12">
        <f>IFERROR((K21-K22)/K21*100,"")</f>
        <v/>
      </c>
      <c r="L24" s="12">
        <f>IFERROR((L21-L22)/L21*100,"")</f>
        <v/>
      </c>
      <c r="M24" s="12">
        <f>IFERROR((M21-M22)/M21*100,"")</f>
        <v/>
      </c>
      <c r="N24" s="12">
        <f>IFERROR((N21-N22)/N21*100,"")</f>
        <v/>
      </c>
      <c r="O24" s="12">
        <f>IFERROR((O21-O22)/O21*100,"")</f>
        <v/>
      </c>
      <c r="P24" s="12">
        <f>IFERROR((P21-P22)/P21*100,"")</f>
        <v/>
      </c>
      <c r="Q24" s="12">
        <f>IFERROR((Q21-Q22)/Q21*100,"")</f>
        <v/>
      </c>
      <c r="R24" s="12">
        <f>IFERROR((R21-R22)/R21*100,"")</f>
        <v/>
      </c>
      <c r="S24" s="12">
        <f>IFERROR((S21-S22)/S21*100,"")</f>
        <v/>
      </c>
      <c r="T24" s="12">
        <f>IFERROR((T21-T22)/T21*100,"")</f>
        <v/>
      </c>
      <c r="U24" s="12">
        <f>IFERROR((U21-U22)/U21*100,"")</f>
        <v/>
      </c>
      <c r="V24" s="12">
        <f>IFERROR((V21-V22)/V21*100,"")</f>
        <v/>
      </c>
      <c r="W24" s="12">
        <f>IFERROR((W21-W22)/W21*100,"")</f>
        <v/>
      </c>
      <c r="X24" s="12">
        <f>IFERROR((X21-X22)/X21*100,"")</f>
        <v/>
      </c>
      <c r="Y24" s="12">
        <f>IFERROR((Y21-Y22)/Y21*100,"")</f>
        <v/>
      </c>
      <c r="Z24" s="12">
        <f>IFERROR((Z21-Z22)/Z21*100,"")</f>
        <v/>
      </c>
      <c r="AA24" s="12">
        <f>IFERROR((AA21-AA22)/AA21*100,"")</f>
        <v/>
      </c>
      <c r="AB24" s="12">
        <f>IFERROR((AB21-AB22)/AB21*100,"")</f>
        <v/>
      </c>
      <c r="AC24" s="12">
        <f>IFERROR((AC21-AC22)/AC21*100,"")</f>
        <v/>
      </c>
      <c r="AD24" s="12">
        <f>IFERROR((AD21-AD22)/AD21*100,"")</f>
        <v/>
      </c>
      <c r="AE24" s="12">
        <f>IFERROR((AE21-AE22)/AE21*100,"")</f>
        <v/>
      </c>
      <c r="AF24" s="12">
        <f>IFERROR((AF21-AF22)/AF21*100,"")</f>
        <v/>
      </c>
      <c r="AG24" s="12">
        <f>IFERROR((AG21-AG22)/AG21*100,"")</f>
        <v/>
      </c>
      <c r="AH24" s="12">
        <f>IFERROR((AH21-AH22)/AH21*100,"")</f>
        <v/>
      </c>
      <c r="AI24" s="12">
        <f>IFERROR((AI21-AI22)/AI21*100,"")</f>
        <v/>
      </c>
      <c r="AJ24" s="12">
        <f>IFERROR((AJ21-AJ22)/AJ21*100,"")</f>
        <v/>
      </c>
      <c r="AK24" s="12">
        <f>IFERROR((AK21-AK22)/AK21*100,"")</f>
        <v/>
      </c>
      <c r="AL24" s="12">
        <f>IFERROR((AL21-AL22)/AL21*100,"")</f>
        <v/>
      </c>
      <c r="AM24" s="12">
        <f>IFERROR((AM21-AM22)/AM21*100,"")</f>
        <v/>
      </c>
      <c r="AN24" s="12">
        <f>IFERROR((AN21-AN22)/AN21*100,"")</f>
        <v/>
      </c>
      <c r="AO24" s="12">
        <f>IFERROR((AO21-AO22)/AO21*100,"")</f>
        <v/>
      </c>
      <c r="AP24" s="12">
        <f>IFERROR((AP21-AP22)/AP21*100,"")</f>
        <v/>
      </c>
      <c r="AQ24" s="12">
        <f>IFERROR((AQ21-AQ22)/AQ21*100,"")</f>
        <v/>
      </c>
      <c r="AR24" s="12">
        <f>IFERROR((AR21-AR22)/AR21*100,"")</f>
        <v/>
      </c>
      <c r="AS24" s="12">
        <f>IFERROR((AS21-AS22)/AS21*100,"")</f>
        <v/>
      </c>
      <c r="AT24" s="12">
        <f>IFERROR((AT21-AT22)/AT21*100,"")</f>
        <v/>
      </c>
      <c r="AU24" s="12">
        <f>IFERROR((AU21-AU22)/AU21*100,"")</f>
        <v/>
      </c>
      <c r="AV24" s="12">
        <f>IFERROR((AV21-AV22)/AV21*100,"")</f>
        <v/>
      </c>
      <c r="AW24" s="12">
        <f>IFERROR((AW21-AW22)/AW21*100,"")</f>
        <v/>
      </c>
      <c r="AX24" s="12">
        <f>IFERROR((AX21-AX22)/AX21*100,"")</f>
        <v/>
      </c>
      <c r="AY24" s="12">
        <f>IFERROR((AY21-AY22)/AY21*100,"")</f>
        <v/>
      </c>
    </row>
    <row r="25">
      <c r="A25" s="4" t="inlineStr">
        <is>
          <t>Écart actuel → marché (%)</t>
        </is>
      </c>
      <c r="B25" s="11">
        <f>IFERROR((B22-B23)/B22*100,"")</f>
        <v/>
      </c>
      <c r="C25" s="11">
        <f>IFERROR((C22-C23)/C22*100,"")</f>
        <v/>
      </c>
      <c r="D25" s="11">
        <f>IFERROR((D22-D23)/D22*100,"")</f>
        <v/>
      </c>
      <c r="E25" s="11">
        <f>IFERROR((E22-E23)/E22*100,"")</f>
        <v/>
      </c>
      <c r="F25" s="11">
        <f>IFERROR((F22-F23)/F22*100,"")</f>
        <v/>
      </c>
      <c r="G25" s="12">
        <f>IFERROR((G22-G23)/G22*100,"")</f>
        <v/>
      </c>
      <c r="H25" s="12">
        <f>IFERROR((H22-H23)/H22*100,"")</f>
        <v/>
      </c>
      <c r="I25" s="12">
        <f>IFERROR((I22-I23)/I22*100,"")</f>
        <v/>
      </c>
      <c r="J25" s="12">
        <f>IFERROR((J22-J23)/J22*100,"")</f>
        <v/>
      </c>
      <c r="K25" s="12">
        <f>IFERROR((K22-K23)/K22*100,"")</f>
        <v/>
      </c>
      <c r="L25" s="12">
        <f>IFERROR((L22-L23)/L22*100,"")</f>
        <v/>
      </c>
      <c r="M25" s="12">
        <f>IFERROR((M22-M23)/M22*100,"")</f>
        <v/>
      </c>
      <c r="N25" s="12">
        <f>IFERROR((N22-N23)/N22*100,"")</f>
        <v/>
      </c>
      <c r="O25" s="12">
        <f>IFERROR((O22-O23)/O22*100,"")</f>
        <v/>
      </c>
      <c r="P25" s="12">
        <f>IFERROR((P22-P23)/P22*100,"")</f>
        <v/>
      </c>
      <c r="Q25" s="12">
        <f>IFERROR((Q22-Q23)/Q22*100,"")</f>
        <v/>
      </c>
      <c r="R25" s="12">
        <f>IFERROR((R22-R23)/R22*100,"")</f>
        <v/>
      </c>
      <c r="S25" s="12">
        <f>IFERROR((S22-S23)/S22*100,"")</f>
        <v/>
      </c>
      <c r="T25" s="12">
        <f>IFERROR((T22-T23)/T22*100,"")</f>
        <v/>
      </c>
      <c r="U25" s="12">
        <f>IFERROR((U22-U23)/U22*100,"")</f>
        <v/>
      </c>
      <c r="V25" s="12">
        <f>IFERROR((V22-V23)/V22*100,"")</f>
        <v/>
      </c>
      <c r="W25" s="12">
        <f>IFERROR((W22-W23)/W22*100,"")</f>
        <v/>
      </c>
      <c r="X25" s="12">
        <f>IFERROR((X22-X23)/X22*100,"")</f>
        <v/>
      </c>
      <c r="Y25" s="12">
        <f>IFERROR((Y22-Y23)/Y22*100,"")</f>
        <v/>
      </c>
      <c r="Z25" s="12">
        <f>IFERROR((Z22-Z23)/Z22*100,"")</f>
        <v/>
      </c>
      <c r="AA25" s="12">
        <f>IFERROR((AA22-AA23)/AA22*100,"")</f>
        <v/>
      </c>
      <c r="AB25" s="12">
        <f>IFERROR((AB22-AB23)/AB22*100,"")</f>
        <v/>
      </c>
      <c r="AC25" s="12">
        <f>IFERROR((AC22-AC23)/AC22*100,"")</f>
        <v/>
      </c>
      <c r="AD25" s="12">
        <f>IFERROR((AD22-AD23)/AD22*100,"")</f>
        <v/>
      </c>
      <c r="AE25" s="12">
        <f>IFERROR((AE22-AE23)/AE22*100,"")</f>
        <v/>
      </c>
      <c r="AF25" s="12">
        <f>IFERROR((AF22-AF23)/AF22*100,"")</f>
        <v/>
      </c>
      <c r="AG25" s="12">
        <f>IFERROR((AG22-AG23)/AG22*100,"")</f>
        <v/>
      </c>
      <c r="AH25" s="12">
        <f>IFERROR((AH22-AH23)/AH22*100,"")</f>
        <v/>
      </c>
      <c r="AI25" s="12">
        <f>IFERROR((AI22-AI23)/AI22*100,"")</f>
        <v/>
      </c>
      <c r="AJ25" s="12">
        <f>IFERROR((AJ22-AJ23)/AJ22*100,"")</f>
        <v/>
      </c>
      <c r="AK25" s="12">
        <f>IFERROR((AK22-AK23)/AK22*100,"")</f>
        <v/>
      </c>
      <c r="AL25" s="12">
        <f>IFERROR((AL22-AL23)/AL22*100,"")</f>
        <v/>
      </c>
      <c r="AM25" s="12">
        <f>IFERROR((AM22-AM23)/AM22*100,"")</f>
        <v/>
      </c>
      <c r="AN25" s="12">
        <f>IFERROR((AN22-AN23)/AN22*100,"")</f>
        <v/>
      </c>
      <c r="AO25" s="12">
        <f>IFERROR((AO22-AO23)/AO22*100,"")</f>
        <v/>
      </c>
      <c r="AP25" s="12">
        <f>IFERROR((AP22-AP23)/AP22*100,"")</f>
        <v/>
      </c>
      <c r="AQ25" s="12">
        <f>IFERROR((AQ22-AQ23)/AQ22*100,"")</f>
        <v/>
      </c>
      <c r="AR25" s="12">
        <f>IFERROR((AR22-AR23)/AR22*100,"")</f>
        <v/>
      </c>
      <c r="AS25" s="12">
        <f>IFERROR((AS22-AS23)/AS22*100,"")</f>
        <v/>
      </c>
      <c r="AT25" s="12">
        <f>IFERROR((AT22-AT23)/AT22*100,"")</f>
        <v/>
      </c>
      <c r="AU25" s="12">
        <f>IFERROR((AU22-AU23)/AU22*100,"")</f>
        <v/>
      </c>
      <c r="AV25" s="12">
        <f>IFERROR((AV22-AV23)/AV22*100,"")</f>
        <v/>
      </c>
      <c r="AW25" s="12">
        <f>IFERROR((AW22-AW23)/AW22*100,"")</f>
        <v/>
      </c>
      <c r="AX25" s="12">
        <f>IFERROR((AX22-AX23)/AX22*100,"")</f>
        <v/>
      </c>
      <c r="AY25" s="12">
        <f>IFERROR((AY22-AY23)/AY22*100,"")</f>
        <v/>
      </c>
    </row>
    <row r="26" ht="15.5" customHeight="1" s="24">
      <c r="A26" s="7" t="inlineStr">
        <is>
          <t>PRIX DÉRIVÉS (base = prix actuel site propre)</t>
        </is>
      </c>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row>
    <row r="27">
      <c r="A27" s="4" t="inlineStr">
        <is>
          <t>Prix actuel / kg (€)</t>
        </is>
      </c>
      <c r="B27" s="13">
        <f>IFERROR(B22/(B5/1000),"")</f>
        <v/>
      </c>
      <c r="C27" s="13">
        <f>IFERROR(C22/(C5/1000),"")</f>
        <v/>
      </c>
      <c r="D27" s="13">
        <f>IFERROR(D22/(D5/1000),"")</f>
        <v/>
      </c>
      <c r="E27" s="13">
        <f>IFERROR(E22/(E5/1000),"")</f>
        <v/>
      </c>
      <c r="F27" s="13">
        <f>IFERROR(F22/(F5/1000),"")</f>
        <v/>
      </c>
      <c r="G27" s="14">
        <f>IFERROR(G22/(G5/1000),"")</f>
        <v/>
      </c>
      <c r="H27" s="14">
        <f>IFERROR(H22/(H5/1000),"")</f>
        <v/>
      </c>
      <c r="I27" s="14">
        <f>IFERROR(I22/(I5/1000),"")</f>
        <v/>
      </c>
      <c r="J27" s="14">
        <f>IFERROR(J22/(J5/1000),"")</f>
        <v/>
      </c>
      <c r="K27" s="14">
        <f>IFERROR(K22/(K5/1000),"")</f>
        <v/>
      </c>
      <c r="L27" s="14">
        <f>IFERROR(L22/(L5/1000),"")</f>
        <v/>
      </c>
      <c r="M27" s="14">
        <f>IFERROR(M22/(M5/1000),"")</f>
        <v/>
      </c>
      <c r="N27" s="14">
        <f>IFERROR(N22/(N5/1000),"")</f>
        <v/>
      </c>
      <c r="O27" s="14">
        <f>IFERROR(O22/(O5/1000),"")</f>
        <v/>
      </c>
      <c r="P27" s="14">
        <f>IFERROR(P22/(P5/1000),"")</f>
        <v/>
      </c>
      <c r="Q27" s="14">
        <f>IFERROR(Q22/(Q5/1000),"")</f>
        <v/>
      </c>
      <c r="R27" s="14">
        <f>IFERROR(R22/(R5/1000),"")</f>
        <v/>
      </c>
      <c r="S27" s="14">
        <f>IFERROR(S22/(S5/1000),"")</f>
        <v/>
      </c>
      <c r="T27" s="14">
        <f>IFERROR(T22/(T5/1000),"")</f>
        <v/>
      </c>
      <c r="U27" s="14">
        <f>IFERROR(U22/(U5/1000),"")</f>
        <v/>
      </c>
      <c r="V27" s="14">
        <f>IFERROR(V22/(V5/1000),"")</f>
        <v/>
      </c>
      <c r="W27" s="14">
        <f>IFERROR(W22/(W5/1000),"")</f>
        <v/>
      </c>
      <c r="X27" s="14">
        <f>IFERROR(X22/(X5/1000),"")</f>
        <v/>
      </c>
      <c r="Y27" s="14">
        <f>IFERROR(Y22/(Y5/1000),"")</f>
        <v/>
      </c>
      <c r="Z27" s="14">
        <f>IFERROR(Z22/(Z5/1000),"")</f>
        <v/>
      </c>
      <c r="AA27" s="14">
        <f>IFERROR(AA22/(AA5/1000),"")</f>
        <v/>
      </c>
      <c r="AB27" s="14">
        <f>IFERROR(AB22/(AB5/1000),"")</f>
        <v/>
      </c>
      <c r="AC27" s="14">
        <f>IFERROR(AC22/(AC5/1000),"")</f>
        <v/>
      </c>
      <c r="AD27" s="14">
        <f>IFERROR(AD22/(AD5/1000),"")</f>
        <v/>
      </c>
      <c r="AE27" s="14">
        <f>IFERROR(AE22/(AE5/1000),"")</f>
        <v/>
      </c>
      <c r="AF27" s="14">
        <f>IFERROR(AF22/(AF5/1000),"")</f>
        <v/>
      </c>
      <c r="AG27" s="14">
        <f>IFERROR(AG22/(AG5/1000),"")</f>
        <v/>
      </c>
      <c r="AH27" s="14">
        <f>IFERROR(AH22/(AH5/1000),"")</f>
        <v/>
      </c>
      <c r="AI27" s="14">
        <f>IFERROR(AI22/(AI5/1000),"")</f>
        <v/>
      </c>
      <c r="AJ27" s="14">
        <f>IFERROR(AJ22/(AJ5/1000),"")</f>
        <v/>
      </c>
      <c r="AK27" s="14">
        <f>IFERROR(AK22/(AK5/1000),"")</f>
        <v/>
      </c>
      <c r="AL27" s="14">
        <f>IFERROR(AL22/(AL5/1000),"")</f>
        <v/>
      </c>
      <c r="AM27" s="14">
        <f>IFERROR(AM22/(AM5/1000),"")</f>
        <v/>
      </c>
      <c r="AN27" s="14">
        <f>IFERROR(AN22/(AN5/1000),"")</f>
        <v/>
      </c>
      <c r="AO27" s="14">
        <f>IFERROR(AO22/(AO5/1000),"")</f>
        <v/>
      </c>
      <c r="AP27" s="14">
        <f>IFERROR(AP22/(AP5/1000),"")</f>
        <v/>
      </c>
      <c r="AQ27" s="14">
        <f>IFERROR(AQ22/(AQ5/1000),"")</f>
        <v/>
      </c>
      <c r="AR27" s="14">
        <f>IFERROR(AR22/(AR5/1000),"")</f>
        <v/>
      </c>
      <c r="AS27" s="14">
        <f>IFERROR(AS22/(AS5/1000),"")</f>
        <v/>
      </c>
      <c r="AT27" s="14">
        <f>IFERROR(AT22/(AT5/1000),"")</f>
        <v/>
      </c>
      <c r="AU27" s="14">
        <f>IFERROR(AU22/(AU5/1000),"")</f>
        <v/>
      </c>
      <c r="AV27" s="14">
        <f>IFERROR(AV22/(AV5/1000),"")</f>
        <v/>
      </c>
      <c r="AW27" s="14">
        <f>IFERROR(AW22/(AW5/1000),"")</f>
        <v/>
      </c>
      <c r="AX27" s="14">
        <f>IFERROR(AX22/(AX5/1000),"")</f>
        <v/>
      </c>
      <c r="AY27" s="14">
        <f>IFERROR(AY22/(AY5/1000),"")</f>
        <v/>
      </c>
    </row>
    <row r="28">
      <c r="A28" s="4" t="inlineStr">
        <is>
          <t>Prix actuel / portion (€)</t>
        </is>
      </c>
      <c r="B28" s="13">
        <f>IFERROR(B22/B15,"")</f>
        <v/>
      </c>
      <c r="C28" s="13">
        <f>IFERROR(C22/C15,"")</f>
        <v/>
      </c>
      <c r="D28" s="13">
        <f>IFERROR(D22/D15,"")</f>
        <v/>
      </c>
      <c r="E28" s="13">
        <f>IFERROR(E22/E15,"")</f>
        <v/>
      </c>
      <c r="F28" s="13">
        <f>IFERROR(F22/F15,"")</f>
        <v/>
      </c>
      <c r="G28" s="14">
        <f>IFERROR(G22/G15,"")</f>
        <v/>
      </c>
      <c r="H28" s="14">
        <f>IFERROR(H22/H15,"")</f>
        <v/>
      </c>
      <c r="I28" s="14">
        <f>IFERROR(I22/I15,"")</f>
        <v/>
      </c>
      <c r="J28" s="14">
        <f>IFERROR(J22/J15,"")</f>
        <v/>
      </c>
      <c r="K28" s="14">
        <f>IFERROR(K22/K15,"")</f>
        <v/>
      </c>
      <c r="L28" s="14">
        <f>IFERROR(L22/L15,"")</f>
        <v/>
      </c>
      <c r="M28" s="14">
        <f>IFERROR(M22/M15,"")</f>
        <v/>
      </c>
      <c r="N28" s="14">
        <f>IFERROR(N22/N15,"")</f>
        <v/>
      </c>
      <c r="O28" s="14">
        <f>IFERROR(O22/O15,"")</f>
        <v/>
      </c>
      <c r="P28" s="14">
        <f>IFERROR(P22/P15,"")</f>
        <v/>
      </c>
      <c r="Q28" s="14">
        <f>IFERROR(Q22/Q15,"")</f>
        <v/>
      </c>
      <c r="R28" s="14">
        <f>IFERROR(R22/R15,"")</f>
        <v/>
      </c>
      <c r="S28" s="14">
        <f>IFERROR(S22/S15,"")</f>
        <v/>
      </c>
      <c r="T28" s="14">
        <f>IFERROR(T22/T15,"")</f>
        <v/>
      </c>
      <c r="U28" s="14">
        <f>IFERROR(U22/U15,"")</f>
        <v/>
      </c>
      <c r="V28" s="14">
        <f>IFERROR(V22/V15,"")</f>
        <v/>
      </c>
      <c r="W28" s="14">
        <f>IFERROR(W22/W15,"")</f>
        <v/>
      </c>
      <c r="X28" s="14">
        <f>IFERROR(X22/X15,"")</f>
        <v/>
      </c>
      <c r="Y28" s="14">
        <f>IFERROR(Y22/Y15,"")</f>
        <v/>
      </c>
      <c r="Z28" s="14">
        <f>IFERROR(Z22/Z15,"")</f>
        <v/>
      </c>
      <c r="AA28" s="14">
        <f>IFERROR(AA22/AA15,"")</f>
        <v/>
      </c>
      <c r="AB28" s="14">
        <f>IFERROR(AB22/AB15,"")</f>
        <v/>
      </c>
      <c r="AC28" s="14">
        <f>IFERROR(AC22/AC15,"")</f>
        <v/>
      </c>
      <c r="AD28" s="14">
        <f>IFERROR(AD22/AD15,"")</f>
        <v/>
      </c>
      <c r="AE28" s="14">
        <f>IFERROR(AE22/AE15,"")</f>
        <v/>
      </c>
      <c r="AF28" s="14">
        <f>IFERROR(AF22/AF15,"")</f>
        <v/>
      </c>
      <c r="AG28" s="14">
        <f>IFERROR(AG22/AG15,"")</f>
        <v/>
      </c>
      <c r="AH28" s="14">
        <f>IFERROR(AH22/AH15,"")</f>
        <v/>
      </c>
      <c r="AI28" s="14">
        <f>IFERROR(AI22/AI15,"")</f>
        <v/>
      </c>
      <c r="AJ28" s="14">
        <f>IFERROR(AJ22/AJ15,"")</f>
        <v/>
      </c>
      <c r="AK28" s="14">
        <f>IFERROR(AK22/AK15,"")</f>
        <v/>
      </c>
      <c r="AL28" s="14">
        <f>IFERROR(AL22/AL15,"")</f>
        <v/>
      </c>
      <c r="AM28" s="14">
        <f>IFERROR(AM22/AM15,"")</f>
        <v/>
      </c>
      <c r="AN28" s="14">
        <f>IFERROR(AN22/AN15,"")</f>
        <v/>
      </c>
      <c r="AO28" s="14">
        <f>IFERROR(AO22/AO15,"")</f>
        <v/>
      </c>
      <c r="AP28" s="14">
        <f>IFERROR(AP22/AP15,"")</f>
        <v/>
      </c>
      <c r="AQ28" s="14">
        <f>IFERROR(AQ22/AQ15,"")</f>
        <v/>
      </c>
      <c r="AR28" s="14">
        <f>IFERROR(AR22/AR15,"")</f>
        <v/>
      </c>
      <c r="AS28" s="14">
        <f>IFERROR(AS22/AS15,"")</f>
        <v/>
      </c>
      <c r="AT28" s="14">
        <f>IFERROR(AT22/AT15,"")</f>
        <v/>
      </c>
      <c r="AU28" s="14">
        <f>IFERROR(AU22/AU15,"")</f>
        <v/>
      </c>
      <c r="AV28" s="14">
        <f>IFERROR(AV22/AV15,"")</f>
        <v/>
      </c>
      <c r="AW28" s="14">
        <f>IFERROR(AW22/AW15,"")</f>
        <v/>
      </c>
      <c r="AX28" s="14">
        <f>IFERROR(AX22/AX15,"")</f>
        <v/>
      </c>
      <c r="AY28" s="14">
        <f>IFERROR(AY22/AY15,"")</f>
        <v/>
      </c>
    </row>
    <row r="29">
      <c r="A29" s="4" t="inlineStr">
        <is>
          <t>Prix actuel / g de protéine (€)</t>
        </is>
      </c>
      <c r="B29" s="15">
        <f>IFERROR(B22/(B15*B13),"")</f>
        <v/>
      </c>
      <c r="C29" s="15">
        <f>IFERROR(C22/(C15*C13),"")</f>
        <v/>
      </c>
      <c r="D29" s="15">
        <f>IFERROR(D22/(D15*D13),"")</f>
        <v/>
      </c>
      <c r="E29" s="15">
        <f>IFERROR(E22/(E15*E13),"")</f>
        <v/>
      </c>
      <c r="F29" s="15">
        <f>IFERROR(F22/(F15*F13),"")</f>
        <v/>
      </c>
      <c r="G29" s="16">
        <f>IFERROR(G22/(G15*G13),"")</f>
        <v/>
      </c>
      <c r="H29" s="16">
        <f>IFERROR(H22/(H15*H13),"")</f>
        <v/>
      </c>
      <c r="I29" s="16">
        <f>IFERROR(I22/(I15*I13),"")</f>
        <v/>
      </c>
      <c r="J29" s="16">
        <f>IFERROR(J22/(J15*J13),"")</f>
        <v/>
      </c>
      <c r="K29" s="16">
        <f>IFERROR(K22/(K15*K13),"")</f>
        <v/>
      </c>
      <c r="L29" s="16">
        <f>IFERROR(L22/(L15*L13),"")</f>
        <v/>
      </c>
      <c r="M29" s="16">
        <f>IFERROR(M22/(M15*M13),"")</f>
        <v/>
      </c>
      <c r="N29" s="16">
        <f>IFERROR(N22/(N15*N13),"")</f>
        <v/>
      </c>
      <c r="O29" s="16">
        <f>IFERROR(O22/(O15*O13),"")</f>
        <v/>
      </c>
      <c r="P29" s="16">
        <f>IFERROR(P22/(P15*P13),"")</f>
        <v/>
      </c>
      <c r="Q29" s="16">
        <f>IFERROR(Q22/(Q15*Q13),"")</f>
        <v/>
      </c>
      <c r="R29" s="16">
        <f>IFERROR(R22/(R15*R13),"")</f>
        <v/>
      </c>
      <c r="S29" s="16">
        <f>IFERROR(S22/(S15*S13),"")</f>
        <v/>
      </c>
      <c r="T29" s="16">
        <f>IFERROR(T22/(T15*T13),"")</f>
        <v/>
      </c>
      <c r="U29" s="16">
        <f>IFERROR(U22/(U15*U13),"")</f>
        <v/>
      </c>
      <c r="V29" s="16">
        <f>IFERROR(V22/(V15*V13),"")</f>
        <v/>
      </c>
      <c r="W29" s="16">
        <f>IFERROR(W22/(W15*W13),"")</f>
        <v/>
      </c>
      <c r="X29" s="16">
        <f>IFERROR(X22/(X15*X13),"")</f>
        <v/>
      </c>
      <c r="Y29" s="16">
        <f>IFERROR(Y22/(Y15*Y13),"")</f>
        <v/>
      </c>
      <c r="Z29" s="16">
        <f>IFERROR(Z22/(Z15*Z13),"")</f>
        <v/>
      </c>
      <c r="AA29" s="16">
        <f>IFERROR(AA22/(AA15*AA13),"")</f>
        <v/>
      </c>
      <c r="AB29" s="16">
        <f>IFERROR(AB22/(AB15*AB13),"")</f>
        <v/>
      </c>
      <c r="AC29" s="16">
        <f>IFERROR(AC22/(AC15*AC13),"")</f>
        <v/>
      </c>
      <c r="AD29" s="16">
        <f>IFERROR(AD22/(AD15*AD13),"")</f>
        <v/>
      </c>
      <c r="AE29" s="16">
        <f>IFERROR(AE22/(AE15*AE13),"")</f>
        <v/>
      </c>
      <c r="AF29" s="16">
        <f>IFERROR(AF22/(AF15*AF13),"")</f>
        <v/>
      </c>
      <c r="AG29" s="16">
        <f>IFERROR(AG22/(AG15*AG13),"")</f>
        <v/>
      </c>
      <c r="AH29" s="16">
        <f>IFERROR(AH22/(AH15*AH13),"")</f>
        <v/>
      </c>
      <c r="AI29" s="16">
        <f>IFERROR(AI22/(AI15*AI13),"")</f>
        <v/>
      </c>
      <c r="AJ29" s="16">
        <f>IFERROR(AJ22/(AJ15*AJ13),"")</f>
        <v/>
      </c>
      <c r="AK29" s="16">
        <f>IFERROR(AK22/(AK15*AK13),"")</f>
        <v/>
      </c>
      <c r="AL29" s="16">
        <f>IFERROR(AL22/(AL15*AL13),"")</f>
        <v/>
      </c>
      <c r="AM29" s="16">
        <f>IFERROR(AM22/(AM15*AM13),"")</f>
        <v/>
      </c>
      <c r="AN29" s="16">
        <f>IFERROR(AN22/(AN15*AN13),"")</f>
        <v/>
      </c>
      <c r="AO29" s="16">
        <f>IFERROR(AO22/(AO15*AO13),"")</f>
        <v/>
      </c>
      <c r="AP29" s="16">
        <f>IFERROR(AP22/(AP15*AP13),"")</f>
        <v/>
      </c>
      <c r="AQ29" s="16">
        <f>IFERROR(AQ22/(AQ15*AQ13),"")</f>
        <v/>
      </c>
      <c r="AR29" s="16">
        <f>IFERROR(AR22/(AR15*AR13),"")</f>
        <v/>
      </c>
      <c r="AS29" s="16">
        <f>IFERROR(AS22/(AS15*AS13),"")</f>
        <v/>
      </c>
      <c r="AT29" s="16">
        <f>IFERROR(AT22/(AT15*AT13),"")</f>
        <v/>
      </c>
      <c r="AU29" s="16">
        <f>IFERROR(AU22/(AU15*AU13),"")</f>
        <v/>
      </c>
      <c r="AV29" s="16">
        <f>IFERROR(AV22/(AV15*AV13),"")</f>
        <v/>
      </c>
      <c r="AW29" s="16">
        <f>IFERROR(AW22/(AW15*AW13),"")</f>
        <v/>
      </c>
      <c r="AX29" s="16">
        <f>IFERROR(AX22/(AX15*AX13),"")</f>
        <v/>
      </c>
      <c r="AY29" s="16">
        <f>IFERROR(AY22/(AY15*AY13),"")</f>
        <v/>
      </c>
    </row>
    <row r="30">
      <c r="A30" s="4" t="inlineStr">
        <is>
          <t>Prix marché / g de protéine (€)</t>
        </is>
      </c>
      <c r="B30" s="15">
        <f>IFERROR(B23/(B15*B13),"")</f>
        <v/>
      </c>
      <c r="C30" s="15">
        <f>IFERROR(C23/(C15*C13),"")</f>
        <v/>
      </c>
      <c r="D30" s="15">
        <f>IFERROR(D23/(D15*D13),"")</f>
        <v/>
      </c>
      <c r="E30" s="15">
        <f>IFERROR(E23/(E15*E13),"")</f>
        <v/>
      </c>
      <c r="F30" s="15">
        <f>IFERROR(F23/(F15*F13),"")</f>
        <v/>
      </c>
      <c r="G30" s="16">
        <f>IFERROR(G23/(G15*G13),"")</f>
        <v/>
      </c>
      <c r="H30" s="16">
        <f>IFERROR(H23/(H15*H13),"")</f>
        <v/>
      </c>
      <c r="I30" s="16">
        <f>IFERROR(I23/(I15*I13),"")</f>
        <v/>
      </c>
      <c r="J30" s="16">
        <f>IFERROR(J23/(J15*J13),"")</f>
        <v/>
      </c>
      <c r="K30" s="16">
        <f>IFERROR(K23/(K15*K13),"")</f>
        <v/>
      </c>
      <c r="L30" s="16">
        <f>IFERROR(L23/(L15*L13),"")</f>
        <v/>
      </c>
      <c r="M30" s="16">
        <f>IFERROR(M23/(M15*M13),"")</f>
        <v/>
      </c>
      <c r="N30" s="16">
        <f>IFERROR(N23/(N15*N13),"")</f>
        <v/>
      </c>
      <c r="O30" s="16">
        <f>IFERROR(O23/(O15*O13),"")</f>
        <v/>
      </c>
      <c r="P30" s="16">
        <f>IFERROR(P23/(P15*P13),"")</f>
        <v/>
      </c>
      <c r="Q30" s="16">
        <f>IFERROR(Q23/(Q15*Q13),"")</f>
        <v/>
      </c>
      <c r="R30" s="16">
        <f>IFERROR(R23/(R15*R13),"")</f>
        <v/>
      </c>
      <c r="S30" s="16">
        <f>IFERROR(S23/(S15*S13),"")</f>
        <v/>
      </c>
      <c r="T30" s="16">
        <f>IFERROR(T23/(T15*T13),"")</f>
        <v/>
      </c>
      <c r="U30" s="16">
        <f>IFERROR(U23/(U15*U13),"")</f>
        <v/>
      </c>
      <c r="V30" s="16">
        <f>IFERROR(V23/(V15*V13),"")</f>
        <v/>
      </c>
      <c r="W30" s="16">
        <f>IFERROR(W23/(W15*W13),"")</f>
        <v/>
      </c>
      <c r="X30" s="16">
        <f>IFERROR(X23/(X15*X13),"")</f>
        <v/>
      </c>
      <c r="Y30" s="16">
        <f>IFERROR(Y23/(Y15*Y13),"")</f>
        <v/>
      </c>
      <c r="Z30" s="16">
        <f>IFERROR(Z23/(Z15*Z13),"")</f>
        <v/>
      </c>
      <c r="AA30" s="16">
        <f>IFERROR(AA23/(AA15*AA13),"")</f>
        <v/>
      </c>
      <c r="AB30" s="16">
        <f>IFERROR(AB23/(AB15*AB13),"")</f>
        <v/>
      </c>
      <c r="AC30" s="16">
        <f>IFERROR(AC23/(AC15*AC13),"")</f>
        <v/>
      </c>
      <c r="AD30" s="16">
        <f>IFERROR(AD23/(AD15*AD13),"")</f>
        <v/>
      </c>
      <c r="AE30" s="16">
        <f>IFERROR(AE23/(AE15*AE13),"")</f>
        <v/>
      </c>
      <c r="AF30" s="16">
        <f>IFERROR(AF23/(AF15*AF13),"")</f>
        <v/>
      </c>
      <c r="AG30" s="16">
        <f>IFERROR(AG23/(AG15*AG13),"")</f>
        <v/>
      </c>
      <c r="AH30" s="16">
        <f>IFERROR(AH23/(AH15*AH13),"")</f>
        <v/>
      </c>
      <c r="AI30" s="16">
        <f>IFERROR(AI23/(AI15*AI13),"")</f>
        <v/>
      </c>
      <c r="AJ30" s="16">
        <f>IFERROR(AJ23/(AJ15*AJ13),"")</f>
        <v/>
      </c>
      <c r="AK30" s="16">
        <f>IFERROR(AK23/(AK15*AK13),"")</f>
        <v/>
      </c>
      <c r="AL30" s="16">
        <f>IFERROR(AL23/(AL15*AL13),"")</f>
        <v/>
      </c>
      <c r="AM30" s="16">
        <f>IFERROR(AM23/(AM15*AM13),"")</f>
        <v/>
      </c>
      <c r="AN30" s="16">
        <f>IFERROR(AN23/(AN15*AN13),"")</f>
        <v/>
      </c>
      <c r="AO30" s="16">
        <f>IFERROR(AO23/(AO15*AO13),"")</f>
        <v/>
      </c>
      <c r="AP30" s="16">
        <f>IFERROR(AP23/(AP15*AP13),"")</f>
        <v/>
      </c>
      <c r="AQ30" s="16">
        <f>IFERROR(AQ23/(AQ15*AQ13),"")</f>
        <v/>
      </c>
      <c r="AR30" s="16">
        <f>IFERROR(AR23/(AR15*AR13),"")</f>
        <v/>
      </c>
      <c r="AS30" s="16">
        <f>IFERROR(AS23/(AS15*AS13),"")</f>
        <v/>
      </c>
      <c r="AT30" s="16">
        <f>IFERROR(AT23/(AT15*AT13),"")</f>
        <v/>
      </c>
      <c r="AU30" s="16">
        <f>IFERROR(AU23/(AU15*AU13),"")</f>
        <v/>
      </c>
      <c r="AV30" s="16">
        <f>IFERROR(AV23/(AV15*AV13),"")</f>
        <v/>
      </c>
      <c r="AW30" s="16">
        <f>IFERROR(AW23/(AW15*AW13),"")</f>
        <v/>
      </c>
      <c r="AX30" s="16">
        <f>IFERROR(AX23/(AX15*AX13),"")</f>
        <v/>
      </c>
      <c r="AY30" s="16">
        <f>IFERROR(AY23/(AY15*AY13),"")</f>
        <v/>
      </c>
    </row>
    <row r="31">
      <c r="A31" s="4" t="inlineStr">
        <is>
          <t>Prix abonnement (€ TTC)</t>
        </is>
      </c>
      <c r="B31" s="9" t="n"/>
      <c r="C31" s="9" t="n"/>
      <c r="D31" s="9" t="n"/>
      <c r="E31" s="9" t="n"/>
      <c r="F31" s="9" t="n"/>
      <c r="G31" s="10" t="n"/>
      <c r="H31" s="10" t="n"/>
      <c r="I31" s="10" t="n"/>
      <c r="J31" s="10" t="n"/>
      <c r="K31" s="10" t="n"/>
      <c r="L31" s="10" t="n"/>
      <c r="M31" s="10" t="n"/>
      <c r="N31" s="10" t="n"/>
      <c r="O31" s="10" t="n"/>
      <c r="P31" s="10" t="n"/>
      <c r="Q31" s="10" t="n"/>
      <c r="R31" s="10" t="n"/>
      <c r="S31" s="10" t="n"/>
      <c r="T31" s="10" t="n">
        <v>36.76</v>
      </c>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row>
    <row r="32">
      <c r="A32" s="4" t="inlineStr">
        <is>
          <t>Remise abo (%)</t>
        </is>
      </c>
      <c r="B32" s="9" t="n"/>
      <c r="C32" s="9" t="n"/>
      <c r="D32" s="9" t="n"/>
      <c r="E32" s="9" t="n"/>
      <c r="F32" s="9" t="n"/>
      <c r="G32" s="10" t="n"/>
      <c r="H32" s="10" t="n"/>
      <c r="I32" s="10" t="n"/>
      <c r="J32" s="10" t="n"/>
      <c r="K32" s="10" t="n"/>
      <c r="L32" s="10" t="n"/>
      <c r="M32" s="10" t="n"/>
      <c r="N32" s="10" t="n"/>
      <c r="O32" s="10" t="n"/>
      <c r="P32" s="10" t="n"/>
      <c r="Q32" s="10" t="n"/>
      <c r="R32" s="10" t="n"/>
      <c r="S32" s="10" t="n"/>
      <c r="T32" s="10" t="n">
        <v>20</v>
      </c>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row>
    <row r="33" ht="15.5" customHeight="1" s="24">
      <c r="A33" s="7" t="inlineStr">
        <is>
          <t>PRIX EFFECTIF (avec code influenceur appliqué sur prix actuel)</t>
        </is>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c r="AY33" s="8" t="n"/>
    </row>
    <row r="34">
      <c r="A34" s="4" t="inlineStr">
        <is>
          <t>Remise bas fourchette (%)</t>
        </is>
      </c>
      <c r="B34" s="17">
        <f>IFERROR(VLOOKUP(B1,'Discounts par marque'!$A:$G,3,FALSE),0)</f>
        <v/>
      </c>
      <c r="C34" s="17">
        <f>IFERROR(VLOOKUP(C1,'Discounts par marque'!$A:$G,3,FALSE),0)</f>
        <v/>
      </c>
      <c r="D34" s="17">
        <f>IFERROR(VLOOKUP(D1,'Discounts par marque'!$A:$G,3,FALSE),0)</f>
        <v/>
      </c>
      <c r="E34" s="17">
        <f>IFERROR(VLOOKUP(E1,'Discounts par marque'!$A:$G,3,FALSE),0)</f>
        <v/>
      </c>
      <c r="F34" s="17">
        <f>IFERROR(VLOOKUP(F1,'Discounts par marque'!$A:$G,3,FALSE),0)</f>
        <v/>
      </c>
      <c r="G34" s="18">
        <f>IFERROR(VLOOKUP(G1,'Discounts par marque'!$A:$G,3,FALSE),0)</f>
        <v/>
      </c>
      <c r="H34" s="18">
        <f>IFERROR(VLOOKUP(H1,'Discounts par marque'!$A:$G,3,FALSE),0)</f>
        <v/>
      </c>
      <c r="I34" s="18">
        <f>IFERROR(VLOOKUP(I1,'Discounts par marque'!$A:$G,3,FALSE),0)</f>
        <v/>
      </c>
      <c r="J34" s="18">
        <f>IFERROR(VLOOKUP(J1,'Discounts par marque'!$A:$G,3,FALSE),0)</f>
        <v/>
      </c>
      <c r="K34" s="18">
        <f>IFERROR(VLOOKUP(K1,'Discounts par marque'!$A:$G,3,FALSE),0)</f>
        <v/>
      </c>
      <c r="L34" s="18">
        <f>IFERROR(VLOOKUP(L1,'Discounts par marque'!$A:$G,3,FALSE),0)</f>
        <v/>
      </c>
      <c r="M34" s="18">
        <f>IFERROR(VLOOKUP(M1,'Discounts par marque'!$A:$G,3,FALSE),0)</f>
        <v/>
      </c>
      <c r="N34" s="18">
        <f>IFERROR(VLOOKUP(N1,'Discounts par marque'!$A:$G,3,FALSE),0)</f>
        <v/>
      </c>
      <c r="O34" s="18">
        <f>IFERROR(VLOOKUP(O1,'Discounts par marque'!$A:$G,3,FALSE),0)</f>
        <v/>
      </c>
      <c r="P34" s="18">
        <f>IFERROR(VLOOKUP(P1,'Discounts par marque'!$A:$G,3,FALSE),0)</f>
        <v/>
      </c>
      <c r="Q34" s="18">
        <f>IFERROR(VLOOKUP(Q1,'Discounts par marque'!$A:$G,3,FALSE),0)</f>
        <v/>
      </c>
      <c r="R34" s="18">
        <f>IFERROR(VLOOKUP(R1,'Discounts par marque'!$A:$G,3,FALSE),0)</f>
        <v/>
      </c>
      <c r="S34" s="18">
        <f>IFERROR(VLOOKUP(S1,'Discounts par marque'!$A:$G,3,FALSE),0)</f>
        <v/>
      </c>
      <c r="T34" s="18">
        <f>IFERROR(VLOOKUP(T1,'Discounts par marque'!$A:$G,3,FALSE),0)</f>
        <v/>
      </c>
      <c r="U34" s="18">
        <f>IFERROR(VLOOKUP(U1,'Discounts par marque'!$A:$G,3,FALSE),0)</f>
        <v/>
      </c>
      <c r="V34" s="18">
        <f>IFERROR(VLOOKUP(V1,'Discounts par marque'!$A:$G,3,FALSE),0)</f>
        <v/>
      </c>
      <c r="W34" s="18">
        <f>IFERROR(VLOOKUP(W1,'Discounts par marque'!$A:$G,3,FALSE),0)</f>
        <v/>
      </c>
      <c r="X34" s="18">
        <f>IFERROR(VLOOKUP(X1,'Discounts par marque'!$A:$G,3,FALSE),0)</f>
        <v/>
      </c>
      <c r="Y34" s="18">
        <f>IFERROR(VLOOKUP(Y1,'Discounts par marque'!$A:$G,3,FALSE),0)</f>
        <v/>
      </c>
      <c r="Z34" s="18">
        <f>IFERROR(VLOOKUP(Z1,'Discounts par marque'!$A:$G,3,FALSE),0)</f>
        <v/>
      </c>
      <c r="AA34" s="18">
        <f>IFERROR(VLOOKUP(AA1,'Discounts par marque'!$A:$G,3,FALSE),0)</f>
        <v/>
      </c>
      <c r="AB34" s="18">
        <f>IFERROR(VLOOKUP(AB1,'Discounts par marque'!$A:$G,3,FALSE),0)</f>
        <v/>
      </c>
      <c r="AC34" s="18">
        <f>IFERROR(VLOOKUP(AC1,'Discounts par marque'!$A:$G,3,FALSE),0)</f>
        <v/>
      </c>
      <c r="AD34" s="18">
        <f>IFERROR(VLOOKUP(AD1,'Discounts par marque'!$A:$G,3,FALSE),0)</f>
        <v/>
      </c>
      <c r="AE34" s="18">
        <f>IFERROR(VLOOKUP(AE1,'Discounts par marque'!$A:$G,3,FALSE),0)</f>
        <v/>
      </c>
      <c r="AF34" s="18">
        <f>IFERROR(VLOOKUP(AF1,'Discounts par marque'!$A:$G,3,FALSE),0)</f>
        <v/>
      </c>
      <c r="AG34" s="18">
        <f>IFERROR(VLOOKUP(AG1,'Discounts par marque'!$A:$G,3,FALSE),0)</f>
        <v/>
      </c>
      <c r="AH34" s="18">
        <f>IFERROR(VLOOKUP(AH1,'Discounts par marque'!$A:$G,3,FALSE),0)</f>
        <v/>
      </c>
      <c r="AI34" s="18">
        <f>IFERROR(VLOOKUP(AI1,'Discounts par marque'!$A:$G,3,FALSE),0)</f>
        <v/>
      </c>
      <c r="AJ34" s="18">
        <f>IFERROR(VLOOKUP(AJ1,'Discounts par marque'!$A:$G,3,FALSE),0)</f>
        <v/>
      </c>
      <c r="AK34" s="18">
        <f>IFERROR(VLOOKUP(AK1,'Discounts par marque'!$A:$G,3,FALSE),0)</f>
        <v/>
      </c>
      <c r="AL34" s="18">
        <f>IFERROR(VLOOKUP(AL1,'Discounts par marque'!$A:$G,3,FALSE),0)</f>
        <v/>
      </c>
      <c r="AM34" s="18">
        <f>IFERROR(VLOOKUP(AM1,'Discounts par marque'!$A:$G,3,FALSE),0)</f>
        <v/>
      </c>
      <c r="AN34" s="18">
        <f>IFERROR(VLOOKUP(AN1,'Discounts par marque'!$A:$G,3,FALSE),0)</f>
        <v/>
      </c>
      <c r="AO34" s="18">
        <f>IFERROR(VLOOKUP(AO1,'Discounts par marque'!$A:$G,3,FALSE),0)</f>
        <v/>
      </c>
      <c r="AP34" s="18">
        <f>IFERROR(VLOOKUP(AP1,'Discounts par marque'!$A:$G,3,FALSE),0)</f>
        <v/>
      </c>
      <c r="AQ34" s="18">
        <f>IFERROR(VLOOKUP(AQ1,'Discounts par marque'!$A:$G,3,FALSE),0)</f>
        <v/>
      </c>
      <c r="AR34" s="18">
        <f>IFERROR(VLOOKUP(AR1,'Discounts par marque'!$A:$G,3,FALSE),0)</f>
        <v/>
      </c>
      <c r="AS34" s="18">
        <f>IFERROR(VLOOKUP(AS1,'Discounts par marque'!$A:$G,3,FALSE),0)</f>
        <v/>
      </c>
      <c r="AT34" s="18">
        <f>IFERROR(VLOOKUP(AT1,'Discounts par marque'!$A:$G,3,FALSE),0)</f>
        <v/>
      </c>
      <c r="AU34" s="18">
        <f>IFERROR(VLOOKUP(AU1,'Discounts par marque'!$A:$G,3,FALSE),0)</f>
        <v/>
      </c>
      <c r="AV34" s="18">
        <f>IFERROR(VLOOKUP(AV1,'Discounts par marque'!$A:$G,3,FALSE),0)</f>
        <v/>
      </c>
      <c r="AW34" s="18">
        <f>IFERROR(VLOOKUP(AW1,'Discounts par marque'!$A:$G,3,FALSE),0)</f>
        <v/>
      </c>
      <c r="AX34" s="18">
        <f>IFERROR(VLOOKUP(AX1,'Discounts par marque'!$A:$G,3,FALSE),0)</f>
        <v/>
      </c>
      <c r="AY34" s="18">
        <f>IFERROR(VLOOKUP(AY1,'Discounts par marque'!$A:$G,3,FALSE),0)</f>
        <v/>
      </c>
    </row>
    <row r="35">
      <c r="A35" s="4" t="inlineStr">
        <is>
          <t>Remise client standard (%)</t>
        </is>
      </c>
      <c r="B35" s="17">
        <f>IFERROR(VLOOKUP(B1,'Discounts par marque'!$A:$G,4,FALSE),0)</f>
        <v/>
      </c>
      <c r="C35" s="17">
        <f>IFERROR(VLOOKUP(C1,'Discounts par marque'!$A:$G,4,FALSE),0)</f>
        <v/>
      </c>
      <c r="D35" s="17">
        <f>IFERROR(VLOOKUP(D1,'Discounts par marque'!$A:$G,4,FALSE),0)</f>
        <v/>
      </c>
      <c r="E35" s="17">
        <f>IFERROR(VLOOKUP(E1,'Discounts par marque'!$A:$G,4,FALSE),0)</f>
        <v/>
      </c>
      <c r="F35" s="17">
        <f>IFERROR(VLOOKUP(F1,'Discounts par marque'!$A:$G,4,FALSE),0)</f>
        <v/>
      </c>
      <c r="G35" s="18">
        <f>IFERROR(VLOOKUP(G1,'Discounts par marque'!$A:$G,4,FALSE),0)</f>
        <v/>
      </c>
      <c r="H35" s="18">
        <f>IFERROR(VLOOKUP(H1,'Discounts par marque'!$A:$G,4,FALSE),0)</f>
        <v/>
      </c>
      <c r="I35" s="18">
        <f>IFERROR(VLOOKUP(I1,'Discounts par marque'!$A:$G,4,FALSE),0)</f>
        <v/>
      </c>
      <c r="J35" s="18">
        <f>IFERROR(VLOOKUP(J1,'Discounts par marque'!$A:$G,4,FALSE),0)</f>
        <v/>
      </c>
      <c r="K35" s="18">
        <f>IFERROR(VLOOKUP(K1,'Discounts par marque'!$A:$G,4,FALSE),0)</f>
        <v/>
      </c>
      <c r="L35" s="18">
        <f>IFERROR(VLOOKUP(L1,'Discounts par marque'!$A:$G,4,FALSE),0)</f>
        <v/>
      </c>
      <c r="M35" s="18">
        <f>IFERROR(VLOOKUP(M1,'Discounts par marque'!$A:$G,4,FALSE),0)</f>
        <v/>
      </c>
      <c r="N35" s="18">
        <f>IFERROR(VLOOKUP(N1,'Discounts par marque'!$A:$G,4,FALSE),0)</f>
        <v/>
      </c>
      <c r="O35" s="18">
        <f>IFERROR(VLOOKUP(O1,'Discounts par marque'!$A:$G,4,FALSE),0)</f>
        <v/>
      </c>
      <c r="P35" s="18">
        <f>IFERROR(VLOOKUP(P1,'Discounts par marque'!$A:$G,4,FALSE),0)</f>
        <v/>
      </c>
      <c r="Q35" s="18">
        <f>IFERROR(VLOOKUP(Q1,'Discounts par marque'!$A:$G,4,FALSE),0)</f>
        <v/>
      </c>
      <c r="R35" s="18">
        <f>IFERROR(VLOOKUP(R1,'Discounts par marque'!$A:$G,4,FALSE),0)</f>
        <v/>
      </c>
      <c r="S35" s="18">
        <f>IFERROR(VLOOKUP(S1,'Discounts par marque'!$A:$G,4,FALSE),0)</f>
        <v/>
      </c>
      <c r="T35" s="18">
        <f>IFERROR(VLOOKUP(T1,'Discounts par marque'!$A:$G,4,FALSE),0)</f>
        <v/>
      </c>
      <c r="U35" s="18">
        <f>IFERROR(VLOOKUP(U1,'Discounts par marque'!$A:$G,4,FALSE),0)</f>
        <v/>
      </c>
      <c r="V35" s="18">
        <f>IFERROR(VLOOKUP(V1,'Discounts par marque'!$A:$G,4,FALSE),0)</f>
        <v/>
      </c>
      <c r="W35" s="18">
        <f>IFERROR(VLOOKUP(W1,'Discounts par marque'!$A:$G,4,FALSE),0)</f>
        <v/>
      </c>
      <c r="X35" s="18">
        <f>IFERROR(VLOOKUP(X1,'Discounts par marque'!$A:$G,4,FALSE),0)</f>
        <v/>
      </c>
      <c r="Y35" s="18">
        <f>IFERROR(VLOOKUP(Y1,'Discounts par marque'!$A:$G,4,FALSE),0)</f>
        <v/>
      </c>
      <c r="Z35" s="18">
        <f>IFERROR(VLOOKUP(Z1,'Discounts par marque'!$A:$G,4,FALSE),0)</f>
        <v/>
      </c>
      <c r="AA35" s="18">
        <f>IFERROR(VLOOKUP(AA1,'Discounts par marque'!$A:$G,4,FALSE),0)</f>
        <v/>
      </c>
      <c r="AB35" s="18">
        <f>IFERROR(VLOOKUP(AB1,'Discounts par marque'!$A:$G,4,FALSE),0)</f>
        <v/>
      </c>
      <c r="AC35" s="18">
        <f>IFERROR(VLOOKUP(AC1,'Discounts par marque'!$A:$G,4,FALSE),0)</f>
        <v/>
      </c>
      <c r="AD35" s="18">
        <f>IFERROR(VLOOKUP(AD1,'Discounts par marque'!$A:$G,4,FALSE),0)</f>
        <v/>
      </c>
      <c r="AE35" s="18">
        <f>IFERROR(VLOOKUP(AE1,'Discounts par marque'!$A:$G,4,FALSE),0)</f>
        <v/>
      </c>
      <c r="AF35" s="18">
        <f>IFERROR(VLOOKUP(AF1,'Discounts par marque'!$A:$G,4,FALSE),0)</f>
        <v/>
      </c>
      <c r="AG35" s="18">
        <f>IFERROR(VLOOKUP(AG1,'Discounts par marque'!$A:$G,4,FALSE),0)</f>
        <v/>
      </c>
      <c r="AH35" s="18">
        <f>IFERROR(VLOOKUP(AH1,'Discounts par marque'!$A:$G,4,FALSE),0)</f>
        <v/>
      </c>
      <c r="AI35" s="18">
        <f>IFERROR(VLOOKUP(AI1,'Discounts par marque'!$A:$G,4,FALSE),0)</f>
        <v/>
      </c>
      <c r="AJ35" s="18">
        <f>IFERROR(VLOOKUP(AJ1,'Discounts par marque'!$A:$G,4,FALSE),0)</f>
        <v/>
      </c>
      <c r="AK35" s="18">
        <f>IFERROR(VLOOKUP(AK1,'Discounts par marque'!$A:$G,4,FALSE),0)</f>
        <v/>
      </c>
      <c r="AL35" s="18">
        <f>IFERROR(VLOOKUP(AL1,'Discounts par marque'!$A:$G,4,FALSE),0)</f>
        <v/>
      </c>
      <c r="AM35" s="18">
        <f>IFERROR(VLOOKUP(AM1,'Discounts par marque'!$A:$G,4,FALSE),0)</f>
        <v/>
      </c>
      <c r="AN35" s="18">
        <f>IFERROR(VLOOKUP(AN1,'Discounts par marque'!$A:$G,4,FALSE),0)</f>
        <v/>
      </c>
      <c r="AO35" s="18">
        <f>IFERROR(VLOOKUP(AO1,'Discounts par marque'!$A:$G,4,FALSE),0)</f>
        <v/>
      </c>
      <c r="AP35" s="18">
        <f>IFERROR(VLOOKUP(AP1,'Discounts par marque'!$A:$G,4,FALSE),0)</f>
        <v/>
      </c>
      <c r="AQ35" s="18">
        <f>IFERROR(VLOOKUP(AQ1,'Discounts par marque'!$A:$G,4,FALSE),0)</f>
        <v/>
      </c>
      <c r="AR35" s="18">
        <f>IFERROR(VLOOKUP(AR1,'Discounts par marque'!$A:$G,4,FALSE),0)</f>
        <v/>
      </c>
      <c r="AS35" s="18">
        <f>IFERROR(VLOOKUP(AS1,'Discounts par marque'!$A:$G,4,FALSE),0)</f>
        <v/>
      </c>
      <c r="AT35" s="18">
        <f>IFERROR(VLOOKUP(AT1,'Discounts par marque'!$A:$G,4,FALSE),0)</f>
        <v/>
      </c>
      <c r="AU35" s="18">
        <f>IFERROR(VLOOKUP(AU1,'Discounts par marque'!$A:$G,4,FALSE),0)</f>
        <v/>
      </c>
      <c r="AV35" s="18">
        <f>IFERROR(VLOOKUP(AV1,'Discounts par marque'!$A:$G,4,FALSE),0)</f>
        <v/>
      </c>
      <c r="AW35" s="18">
        <f>IFERROR(VLOOKUP(AW1,'Discounts par marque'!$A:$G,4,FALSE),0)</f>
        <v/>
      </c>
      <c r="AX35" s="18">
        <f>IFERROR(VLOOKUP(AX1,'Discounts par marque'!$A:$G,4,FALSE),0)</f>
        <v/>
      </c>
      <c r="AY35" s="18">
        <f>IFERROR(VLOOKUP(AY1,'Discounts par marque'!$A:$G,4,FALSE),0)</f>
        <v/>
      </c>
    </row>
    <row r="36">
      <c r="A36" s="4" t="inlineStr">
        <is>
          <t>Remise client averti (%)</t>
        </is>
      </c>
      <c r="B36" s="17">
        <f>IFERROR(VLOOKUP(B1,'Discounts par marque'!$A:$G,5,FALSE),0)</f>
        <v/>
      </c>
      <c r="C36" s="17">
        <f>IFERROR(VLOOKUP(C1,'Discounts par marque'!$A:$G,5,FALSE),0)</f>
        <v/>
      </c>
      <c r="D36" s="17">
        <f>IFERROR(VLOOKUP(D1,'Discounts par marque'!$A:$G,5,FALSE),0)</f>
        <v/>
      </c>
      <c r="E36" s="17">
        <f>IFERROR(VLOOKUP(E1,'Discounts par marque'!$A:$G,5,FALSE),0)</f>
        <v/>
      </c>
      <c r="F36" s="17">
        <f>IFERROR(VLOOKUP(F1,'Discounts par marque'!$A:$G,5,FALSE),0)</f>
        <v/>
      </c>
      <c r="G36" s="18">
        <f>IFERROR(VLOOKUP(G1,'Discounts par marque'!$A:$G,5,FALSE),0)</f>
        <v/>
      </c>
      <c r="H36" s="18">
        <f>IFERROR(VLOOKUP(H1,'Discounts par marque'!$A:$G,5,FALSE),0)</f>
        <v/>
      </c>
      <c r="I36" s="18">
        <f>IFERROR(VLOOKUP(I1,'Discounts par marque'!$A:$G,5,FALSE),0)</f>
        <v/>
      </c>
      <c r="J36" s="18">
        <f>IFERROR(VLOOKUP(J1,'Discounts par marque'!$A:$G,5,FALSE),0)</f>
        <v/>
      </c>
      <c r="K36" s="18">
        <f>IFERROR(VLOOKUP(K1,'Discounts par marque'!$A:$G,5,FALSE),0)</f>
        <v/>
      </c>
      <c r="L36" s="18">
        <f>IFERROR(VLOOKUP(L1,'Discounts par marque'!$A:$G,5,FALSE),0)</f>
        <v/>
      </c>
      <c r="M36" s="18">
        <f>IFERROR(VLOOKUP(M1,'Discounts par marque'!$A:$G,5,FALSE),0)</f>
        <v/>
      </c>
      <c r="N36" s="18">
        <f>IFERROR(VLOOKUP(N1,'Discounts par marque'!$A:$G,5,FALSE),0)</f>
        <v/>
      </c>
      <c r="O36" s="18">
        <f>IFERROR(VLOOKUP(O1,'Discounts par marque'!$A:$G,5,FALSE),0)</f>
        <v/>
      </c>
      <c r="P36" s="18">
        <f>IFERROR(VLOOKUP(P1,'Discounts par marque'!$A:$G,5,FALSE),0)</f>
        <v/>
      </c>
      <c r="Q36" s="18">
        <f>IFERROR(VLOOKUP(Q1,'Discounts par marque'!$A:$G,5,FALSE),0)</f>
        <v/>
      </c>
      <c r="R36" s="18">
        <f>IFERROR(VLOOKUP(R1,'Discounts par marque'!$A:$G,5,FALSE),0)</f>
        <v/>
      </c>
      <c r="S36" s="18">
        <f>IFERROR(VLOOKUP(S1,'Discounts par marque'!$A:$G,5,FALSE),0)</f>
        <v/>
      </c>
      <c r="T36" s="18">
        <f>IFERROR(VLOOKUP(T1,'Discounts par marque'!$A:$G,5,FALSE),0)</f>
        <v/>
      </c>
      <c r="U36" s="18">
        <f>IFERROR(VLOOKUP(U1,'Discounts par marque'!$A:$G,5,FALSE),0)</f>
        <v/>
      </c>
      <c r="V36" s="18">
        <f>IFERROR(VLOOKUP(V1,'Discounts par marque'!$A:$G,5,FALSE),0)</f>
        <v/>
      </c>
      <c r="W36" s="18">
        <f>IFERROR(VLOOKUP(W1,'Discounts par marque'!$A:$G,5,FALSE),0)</f>
        <v/>
      </c>
      <c r="X36" s="18">
        <f>IFERROR(VLOOKUP(X1,'Discounts par marque'!$A:$G,5,FALSE),0)</f>
        <v/>
      </c>
      <c r="Y36" s="18">
        <f>IFERROR(VLOOKUP(Y1,'Discounts par marque'!$A:$G,5,FALSE),0)</f>
        <v/>
      </c>
      <c r="Z36" s="18">
        <f>IFERROR(VLOOKUP(Z1,'Discounts par marque'!$A:$G,5,FALSE),0)</f>
        <v/>
      </c>
      <c r="AA36" s="18">
        <f>IFERROR(VLOOKUP(AA1,'Discounts par marque'!$A:$G,5,FALSE),0)</f>
        <v/>
      </c>
      <c r="AB36" s="18">
        <f>IFERROR(VLOOKUP(AB1,'Discounts par marque'!$A:$G,5,FALSE),0)</f>
        <v/>
      </c>
      <c r="AC36" s="18">
        <f>IFERROR(VLOOKUP(AC1,'Discounts par marque'!$A:$G,5,FALSE),0)</f>
        <v/>
      </c>
      <c r="AD36" s="18">
        <f>IFERROR(VLOOKUP(AD1,'Discounts par marque'!$A:$G,5,FALSE),0)</f>
        <v/>
      </c>
      <c r="AE36" s="18">
        <f>IFERROR(VLOOKUP(AE1,'Discounts par marque'!$A:$G,5,FALSE),0)</f>
        <v/>
      </c>
      <c r="AF36" s="18">
        <f>IFERROR(VLOOKUP(AF1,'Discounts par marque'!$A:$G,5,FALSE),0)</f>
        <v/>
      </c>
      <c r="AG36" s="18">
        <f>IFERROR(VLOOKUP(AG1,'Discounts par marque'!$A:$G,5,FALSE),0)</f>
        <v/>
      </c>
      <c r="AH36" s="18">
        <f>IFERROR(VLOOKUP(AH1,'Discounts par marque'!$A:$G,5,FALSE),0)</f>
        <v/>
      </c>
      <c r="AI36" s="18">
        <f>IFERROR(VLOOKUP(AI1,'Discounts par marque'!$A:$G,5,FALSE),0)</f>
        <v/>
      </c>
      <c r="AJ36" s="18">
        <f>IFERROR(VLOOKUP(AJ1,'Discounts par marque'!$A:$G,5,FALSE),0)</f>
        <v/>
      </c>
      <c r="AK36" s="18">
        <f>IFERROR(VLOOKUP(AK1,'Discounts par marque'!$A:$G,5,FALSE),0)</f>
        <v/>
      </c>
      <c r="AL36" s="18">
        <f>IFERROR(VLOOKUP(AL1,'Discounts par marque'!$A:$G,5,FALSE),0)</f>
        <v/>
      </c>
      <c r="AM36" s="18">
        <f>IFERROR(VLOOKUP(AM1,'Discounts par marque'!$A:$G,5,FALSE),0)</f>
        <v/>
      </c>
      <c r="AN36" s="18">
        <f>IFERROR(VLOOKUP(AN1,'Discounts par marque'!$A:$G,5,FALSE),0)</f>
        <v/>
      </c>
      <c r="AO36" s="18">
        <f>IFERROR(VLOOKUP(AO1,'Discounts par marque'!$A:$G,5,FALSE),0)</f>
        <v/>
      </c>
      <c r="AP36" s="18">
        <f>IFERROR(VLOOKUP(AP1,'Discounts par marque'!$A:$G,5,FALSE),0)</f>
        <v/>
      </c>
      <c r="AQ36" s="18">
        <f>IFERROR(VLOOKUP(AQ1,'Discounts par marque'!$A:$G,5,FALSE),0)</f>
        <v/>
      </c>
      <c r="AR36" s="18">
        <f>IFERROR(VLOOKUP(AR1,'Discounts par marque'!$A:$G,5,FALSE),0)</f>
        <v/>
      </c>
      <c r="AS36" s="18">
        <f>IFERROR(VLOOKUP(AS1,'Discounts par marque'!$A:$G,5,FALSE),0)</f>
        <v/>
      </c>
      <c r="AT36" s="18">
        <f>IFERROR(VLOOKUP(AT1,'Discounts par marque'!$A:$G,5,FALSE),0)</f>
        <v/>
      </c>
      <c r="AU36" s="18">
        <f>IFERROR(VLOOKUP(AU1,'Discounts par marque'!$A:$G,5,FALSE),0)</f>
        <v/>
      </c>
      <c r="AV36" s="18">
        <f>IFERROR(VLOOKUP(AV1,'Discounts par marque'!$A:$G,5,FALSE),0)</f>
        <v/>
      </c>
      <c r="AW36" s="18">
        <f>IFERROR(VLOOKUP(AW1,'Discounts par marque'!$A:$G,5,FALSE),0)</f>
        <v/>
      </c>
      <c r="AX36" s="18">
        <f>IFERROR(VLOOKUP(AX1,'Discounts par marque'!$A:$G,5,FALSE),0)</f>
        <v/>
      </c>
      <c r="AY36" s="18">
        <f>IFERROR(VLOOKUP(AY1,'Discounts par marque'!$A:$G,5,FALSE),0)</f>
        <v/>
      </c>
    </row>
    <row r="37">
      <c r="A37" s="4" t="inlineStr">
        <is>
          <t>Remise plafond observé (%)</t>
        </is>
      </c>
      <c r="B37" s="17">
        <f>IFERROR(VLOOKUP(B1,'Discounts par marque'!$A:$G,6,FALSE),0)</f>
        <v/>
      </c>
      <c r="C37" s="17">
        <f>IFERROR(VLOOKUP(C1,'Discounts par marque'!$A:$G,6,FALSE),0)</f>
        <v/>
      </c>
      <c r="D37" s="17">
        <f>IFERROR(VLOOKUP(D1,'Discounts par marque'!$A:$G,6,FALSE),0)</f>
        <v/>
      </c>
      <c r="E37" s="17">
        <f>IFERROR(VLOOKUP(E1,'Discounts par marque'!$A:$G,6,FALSE),0)</f>
        <v/>
      </c>
      <c r="F37" s="17">
        <f>IFERROR(VLOOKUP(F1,'Discounts par marque'!$A:$G,6,FALSE),0)</f>
        <v/>
      </c>
      <c r="G37" s="18">
        <f>IFERROR(VLOOKUP(G1,'Discounts par marque'!$A:$G,6,FALSE),0)</f>
        <v/>
      </c>
      <c r="H37" s="18">
        <f>IFERROR(VLOOKUP(H1,'Discounts par marque'!$A:$G,6,FALSE),0)</f>
        <v/>
      </c>
      <c r="I37" s="18">
        <f>IFERROR(VLOOKUP(I1,'Discounts par marque'!$A:$G,6,FALSE),0)</f>
        <v/>
      </c>
      <c r="J37" s="18">
        <f>IFERROR(VLOOKUP(J1,'Discounts par marque'!$A:$G,6,FALSE),0)</f>
        <v/>
      </c>
      <c r="K37" s="18">
        <f>IFERROR(VLOOKUP(K1,'Discounts par marque'!$A:$G,6,FALSE),0)</f>
        <v/>
      </c>
      <c r="L37" s="18">
        <f>IFERROR(VLOOKUP(L1,'Discounts par marque'!$A:$G,6,FALSE),0)</f>
        <v/>
      </c>
      <c r="M37" s="18">
        <f>IFERROR(VLOOKUP(M1,'Discounts par marque'!$A:$G,6,FALSE),0)</f>
        <v/>
      </c>
      <c r="N37" s="18">
        <f>IFERROR(VLOOKUP(N1,'Discounts par marque'!$A:$G,6,FALSE),0)</f>
        <v/>
      </c>
      <c r="O37" s="18">
        <f>IFERROR(VLOOKUP(O1,'Discounts par marque'!$A:$G,6,FALSE),0)</f>
        <v/>
      </c>
      <c r="P37" s="18">
        <f>IFERROR(VLOOKUP(P1,'Discounts par marque'!$A:$G,6,FALSE),0)</f>
        <v/>
      </c>
      <c r="Q37" s="18">
        <f>IFERROR(VLOOKUP(Q1,'Discounts par marque'!$A:$G,6,FALSE),0)</f>
        <v/>
      </c>
      <c r="R37" s="18">
        <f>IFERROR(VLOOKUP(R1,'Discounts par marque'!$A:$G,6,FALSE),0)</f>
        <v/>
      </c>
      <c r="S37" s="18">
        <f>IFERROR(VLOOKUP(S1,'Discounts par marque'!$A:$G,6,FALSE),0)</f>
        <v/>
      </c>
      <c r="T37" s="18">
        <f>IFERROR(VLOOKUP(T1,'Discounts par marque'!$A:$G,6,FALSE),0)</f>
        <v/>
      </c>
      <c r="U37" s="18">
        <f>IFERROR(VLOOKUP(U1,'Discounts par marque'!$A:$G,6,FALSE),0)</f>
        <v/>
      </c>
      <c r="V37" s="18">
        <f>IFERROR(VLOOKUP(V1,'Discounts par marque'!$A:$G,6,FALSE),0)</f>
        <v/>
      </c>
      <c r="W37" s="18">
        <f>IFERROR(VLOOKUP(W1,'Discounts par marque'!$A:$G,6,FALSE),0)</f>
        <v/>
      </c>
      <c r="X37" s="18">
        <f>IFERROR(VLOOKUP(X1,'Discounts par marque'!$A:$G,6,FALSE),0)</f>
        <v/>
      </c>
      <c r="Y37" s="18">
        <f>IFERROR(VLOOKUP(Y1,'Discounts par marque'!$A:$G,6,FALSE),0)</f>
        <v/>
      </c>
      <c r="Z37" s="18">
        <f>IFERROR(VLOOKUP(Z1,'Discounts par marque'!$A:$G,6,FALSE),0)</f>
        <v/>
      </c>
      <c r="AA37" s="18">
        <f>IFERROR(VLOOKUP(AA1,'Discounts par marque'!$A:$G,6,FALSE),0)</f>
        <v/>
      </c>
      <c r="AB37" s="18">
        <f>IFERROR(VLOOKUP(AB1,'Discounts par marque'!$A:$G,6,FALSE),0)</f>
        <v/>
      </c>
      <c r="AC37" s="18">
        <f>IFERROR(VLOOKUP(AC1,'Discounts par marque'!$A:$G,6,FALSE),0)</f>
        <v/>
      </c>
      <c r="AD37" s="18">
        <f>IFERROR(VLOOKUP(AD1,'Discounts par marque'!$A:$G,6,FALSE),0)</f>
        <v/>
      </c>
      <c r="AE37" s="18">
        <f>IFERROR(VLOOKUP(AE1,'Discounts par marque'!$A:$G,6,FALSE),0)</f>
        <v/>
      </c>
      <c r="AF37" s="18">
        <f>IFERROR(VLOOKUP(AF1,'Discounts par marque'!$A:$G,6,FALSE),0)</f>
        <v/>
      </c>
      <c r="AG37" s="18">
        <f>IFERROR(VLOOKUP(AG1,'Discounts par marque'!$A:$G,6,FALSE),0)</f>
        <v/>
      </c>
      <c r="AH37" s="18">
        <f>IFERROR(VLOOKUP(AH1,'Discounts par marque'!$A:$G,6,FALSE),0)</f>
        <v/>
      </c>
      <c r="AI37" s="18">
        <f>IFERROR(VLOOKUP(AI1,'Discounts par marque'!$A:$G,6,FALSE),0)</f>
        <v/>
      </c>
      <c r="AJ37" s="18">
        <f>IFERROR(VLOOKUP(AJ1,'Discounts par marque'!$A:$G,6,FALSE),0)</f>
        <v/>
      </c>
      <c r="AK37" s="18">
        <f>IFERROR(VLOOKUP(AK1,'Discounts par marque'!$A:$G,6,FALSE),0)</f>
        <v/>
      </c>
      <c r="AL37" s="18">
        <f>IFERROR(VLOOKUP(AL1,'Discounts par marque'!$A:$G,6,FALSE),0)</f>
        <v/>
      </c>
      <c r="AM37" s="18">
        <f>IFERROR(VLOOKUP(AM1,'Discounts par marque'!$A:$G,6,FALSE),0)</f>
        <v/>
      </c>
      <c r="AN37" s="18">
        <f>IFERROR(VLOOKUP(AN1,'Discounts par marque'!$A:$G,6,FALSE),0)</f>
        <v/>
      </c>
      <c r="AO37" s="18">
        <f>IFERROR(VLOOKUP(AO1,'Discounts par marque'!$A:$G,6,FALSE),0)</f>
        <v/>
      </c>
      <c r="AP37" s="18">
        <f>IFERROR(VLOOKUP(AP1,'Discounts par marque'!$A:$G,6,FALSE),0)</f>
        <v/>
      </c>
      <c r="AQ37" s="18">
        <f>IFERROR(VLOOKUP(AQ1,'Discounts par marque'!$A:$G,6,FALSE),0)</f>
        <v/>
      </c>
      <c r="AR37" s="18">
        <f>IFERROR(VLOOKUP(AR1,'Discounts par marque'!$A:$G,6,FALSE),0)</f>
        <v/>
      </c>
      <c r="AS37" s="18">
        <f>IFERROR(VLOOKUP(AS1,'Discounts par marque'!$A:$G,6,FALSE),0)</f>
        <v/>
      </c>
      <c r="AT37" s="18">
        <f>IFERROR(VLOOKUP(AT1,'Discounts par marque'!$A:$G,6,FALSE),0)</f>
        <v/>
      </c>
      <c r="AU37" s="18">
        <f>IFERROR(VLOOKUP(AU1,'Discounts par marque'!$A:$G,6,FALSE),0)</f>
        <v/>
      </c>
      <c r="AV37" s="18">
        <f>IFERROR(VLOOKUP(AV1,'Discounts par marque'!$A:$G,6,FALSE),0)</f>
        <v/>
      </c>
      <c r="AW37" s="18">
        <f>IFERROR(VLOOKUP(AW1,'Discounts par marque'!$A:$G,6,FALSE),0)</f>
        <v/>
      </c>
      <c r="AX37" s="18">
        <f>IFERROR(VLOOKUP(AX1,'Discounts par marque'!$A:$G,6,FALSE),0)</f>
        <v/>
      </c>
      <c r="AY37" s="18">
        <f>IFERROR(VLOOKUP(AY1,'Discounts par marque'!$A:$G,6,FALSE),0)</f>
        <v/>
      </c>
    </row>
    <row r="38">
      <c r="A38" s="4" t="inlineStr">
        <is>
          <t>Prix client standard (€)</t>
        </is>
      </c>
      <c r="B38" s="13">
        <f>IFERROR(B22*(1-B35/100),"")</f>
        <v/>
      </c>
      <c r="C38" s="13">
        <f>IFERROR(C22*(1-C35/100),"")</f>
        <v/>
      </c>
      <c r="D38" s="13">
        <f>IFERROR(D22*(1-D35/100),"")</f>
        <v/>
      </c>
      <c r="E38" s="13">
        <f>IFERROR(E22*(1-E35/100),"")</f>
        <v/>
      </c>
      <c r="F38" s="13">
        <f>IFERROR(F22*(1-F35/100),"")</f>
        <v/>
      </c>
      <c r="G38" s="14">
        <f>IFERROR(G22*(1-G35/100),"")</f>
        <v/>
      </c>
      <c r="H38" s="14">
        <f>IFERROR(H22*(1-H35/100),"")</f>
        <v/>
      </c>
      <c r="I38" s="14">
        <f>IFERROR(I22*(1-I35/100),"")</f>
        <v/>
      </c>
      <c r="J38" s="14">
        <f>IFERROR(J22*(1-J35/100),"")</f>
        <v/>
      </c>
      <c r="K38" s="14">
        <f>IFERROR(K22*(1-K35/100),"")</f>
        <v/>
      </c>
      <c r="L38" s="14">
        <f>IFERROR(L22*(1-L35/100),"")</f>
        <v/>
      </c>
      <c r="M38" s="14">
        <f>IFERROR(M22*(1-M35/100),"")</f>
        <v/>
      </c>
      <c r="N38" s="14">
        <f>IFERROR(N22*(1-N35/100),"")</f>
        <v/>
      </c>
      <c r="O38" s="14">
        <f>IFERROR(O22*(1-O35/100),"")</f>
        <v/>
      </c>
      <c r="P38" s="14">
        <f>IFERROR(P22*(1-P35/100),"")</f>
        <v/>
      </c>
      <c r="Q38" s="14">
        <f>IFERROR(Q22*(1-Q35/100),"")</f>
        <v/>
      </c>
      <c r="R38" s="14">
        <f>IFERROR(R22*(1-R35/100),"")</f>
        <v/>
      </c>
      <c r="S38" s="14">
        <f>IFERROR(S22*(1-S35/100),"")</f>
        <v/>
      </c>
      <c r="T38" s="14">
        <f>IFERROR(T22*(1-T35/100),"")</f>
        <v/>
      </c>
      <c r="U38" s="14">
        <f>IFERROR(U22*(1-U35/100),"")</f>
        <v/>
      </c>
      <c r="V38" s="14">
        <f>IFERROR(V22*(1-V35/100),"")</f>
        <v/>
      </c>
      <c r="W38" s="14">
        <f>IFERROR(W22*(1-W35/100),"")</f>
        <v/>
      </c>
      <c r="X38" s="14">
        <f>IFERROR(X22*(1-X35/100),"")</f>
        <v/>
      </c>
      <c r="Y38" s="14">
        <f>IFERROR(Y22*(1-Y35/100),"")</f>
        <v/>
      </c>
      <c r="Z38" s="14">
        <f>IFERROR(Z22*(1-Z35/100),"")</f>
        <v/>
      </c>
      <c r="AA38" s="14">
        <f>IFERROR(AA22*(1-AA35/100),"")</f>
        <v/>
      </c>
      <c r="AB38" s="14">
        <f>IFERROR(AB22*(1-AB35/100),"")</f>
        <v/>
      </c>
      <c r="AC38" s="14">
        <f>IFERROR(AC22*(1-AC35/100),"")</f>
        <v/>
      </c>
      <c r="AD38" s="14">
        <f>IFERROR(AD22*(1-AD35/100),"")</f>
        <v/>
      </c>
      <c r="AE38" s="14">
        <f>IFERROR(AE22*(1-AE35/100),"")</f>
        <v/>
      </c>
      <c r="AF38" s="14">
        <f>IFERROR(AF22*(1-AF35/100),"")</f>
        <v/>
      </c>
      <c r="AG38" s="14">
        <f>IFERROR(AG22*(1-AG35/100),"")</f>
        <v/>
      </c>
      <c r="AH38" s="14">
        <f>IFERROR(AH22*(1-AH35/100),"")</f>
        <v/>
      </c>
      <c r="AI38" s="14">
        <f>IFERROR(AI22*(1-AI35/100),"")</f>
        <v/>
      </c>
      <c r="AJ38" s="14">
        <f>IFERROR(AJ22*(1-AJ35/100),"")</f>
        <v/>
      </c>
      <c r="AK38" s="14">
        <f>IFERROR(AK22*(1-AK35/100),"")</f>
        <v/>
      </c>
      <c r="AL38" s="14">
        <f>IFERROR(AL22*(1-AL35/100),"")</f>
        <v/>
      </c>
      <c r="AM38" s="14">
        <f>IFERROR(AM22*(1-AM35/100),"")</f>
        <v/>
      </c>
      <c r="AN38" s="14">
        <f>IFERROR(AN22*(1-AN35/100),"")</f>
        <v/>
      </c>
      <c r="AO38" s="14">
        <f>IFERROR(AO22*(1-AO35/100),"")</f>
        <v/>
      </c>
      <c r="AP38" s="14">
        <f>IFERROR(AP22*(1-AP35/100),"")</f>
        <v/>
      </c>
      <c r="AQ38" s="14">
        <f>IFERROR(AQ22*(1-AQ35/100),"")</f>
        <v/>
      </c>
      <c r="AR38" s="14">
        <f>IFERROR(AR22*(1-AR35/100),"")</f>
        <v/>
      </c>
      <c r="AS38" s="14">
        <f>IFERROR(AS22*(1-AS35/100),"")</f>
        <v/>
      </c>
      <c r="AT38" s="14">
        <f>IFERROR(AT22*(1-AT35/100),"")</f>
        <v/>
      </c>
      <c r="AU38" s="14">
        <f>IFERROR(AU22*(1-AU35/100),"")</f>
        <v/>
      </c>
      <c r="AV38" s="14">
        <f>IFERROR(AV22*(1-AV35/100),"")</f>
        <v/>
      </c>
      <c r="AW38" s="14">
        <f>IFERROR(AW22*(1-AW35/100),"")</f>
        <v/>
      </c>
      <c r="AX38" s="14">
        <f>IFERROR(AX22*(1-AX35/100),"")</f>
        <v/>
      </c>
      <c r="AY38" s="14">
        <f>IFERROR(AY22*(1-AY35/100),"")</f>
        <v/>
      </c>
    </row>
    <row r="39">
      <c r="A39" s="4" t="inlineStr">
        <is>
          <t>Prix client averti (€)</t>
        </is>
      </c>
      <c r="B39" s="13">
        <f>IFERROR(B22*(1-B36/100),"")</f>
        <v/>
      </c>
      <c r="C39" s="13">
        <f>IFERROR(C22*(1-C36/100),"")</f>
        <v/>
      </c>
      <c r="D39" s="13">
        <f>IFERROR(D22*(1-D36/100),"")</f>
        <v/>
      </c>
      <c r="E39" s="13">
        <f>IFERROR(E22*(1-E36/100),"")</f>
        <v/>
      </c>
      <c r="F39" s="13">
        <f>IFERROR(F22*(1-F36/100),"")</f>
        <v/>
      </c>
      <c r="G39" s="14">
        <f>IFERROR(G22*(1-G36/100),"")</f>
        <v/>
      </c>
      <c r="H39" s="14">
        <f>IFERROR(H22*(1-H36/100),"")</f>
        <v/>
      </c>
      <c r="I39" s="14">
        <f>IFERROR(I22*(1-I36/100),"")</f>
        <v/>
      </c>
      <c r="J39" s="14">
        <f>IFERROR(J22*(1-J36/100),"")</f>
        <v/>
      </c>
      <c r="K39" s="14">
        <f>IFERROR(K22*(1-K36/100),"")</f>
        <v/>
      </c>
      <c r="L39" s="14">
        <f>IFERROR(L22*(1-L36/100),"")</f>
        <v/>
      </c>
      <c r="M39" s="14">
        <f>IFERROR(M22*(1-M36/100),"")</f>
        <v/>
      </c>
      <c r="N39" s="14">
        <f>IFERROR(N22*(1-N36/100),"")</f>
        <v/>
      </c>
      <c r="O39" s="14">
        <f>IFERROR(O22*(1-O36/100),"")</f>
        <v/>
      </c>
      <c r="P39" s="14">
        <f>IFERROR(P22*(1-P36/100),"")</f>
        <v/>
      </c>
      <c r="Q39" s="14">
        <f>IFERROR(Q22*(1-Q36/100),"")</f>
        <v/>
      </c>
      <c r="R39" s="14">
        <f>IFERROR(R22*(1-R36/100),"")</f>
        <v/>
      </c>
      <c r="S39" s="14">
        <f>IFERROR(S22*(1-S36/100),"")</f>
        <v/>
      </c>
      <c r="T39" s="14">
        <f>IFERROR(T22*(1-T36/100),"")</f>
        <v/>
      </c>
      <c r="U39" s="14">
        <f>IFERROR(U22*(1-U36/100),"")</f>
        <v/>
      </c>
      <c r="V39" s="14">
        <f>IFERROR(V22*(1-V36/100),"")</f>
        <v/>
      </c>
      <c r="W39" s="14">
        <f>IFERROR(W22*(1-W36/100),"")</f>
        <v/>
      </c>
      <c r="X39" s="14">
        <f>IFERROR(X22*(1-X36/100),"")</f>
        <v/>
      </c>
      <c r="Y39" s="14">
        <f>IFERROR(Y22*(1-Y36/100),"")</f>
        <v/>
      </c>
      <c r="Z39" s="14">
        <f>IFERROR(Z22*(1-Z36/100),"")</f>
        <v/>
      </c>
      <c r="AA39" s="14">
        <f>IFERROR(AA22*(1-AA36/100),"")</f>
        <v/>
      </c>
      <c r="AB39" s="14">
        <f>IFERROR(AB22*(1-AB36/100),"")</f>
        <v/>
      </c>
      <c r="AC39" s="14">
        <f>IFERROR(AC22*(1-AC36/100),"")</f>
        <v/>
      </c>
      <c r="AD39" s="14">
        <f>IFERROR(AD22*(1-AD36/100),"")</f>
        <v/>
      </c>
      <c r="AE39" s="14">
        <f>IFERROR(AE22*(1-AE36/100),"")</f>
        <v/>
      </c>
      <c r="AF39" s="14">
        <f>IFERROR(AF22*(1-AF36/100),"")</f>
        <v/>
      </c>
      <c r="AG39" s="14">
        <f>IFERROR(AG22*(1-AG36/100),"")</f>
        <v/>
      </c>
      <c r="AH39" s="14">
        <f>IFERROR(AH22*(1-AH36/100),"")</f>
        <v/>
      </c>
      <c r="AI39" s="14">
        <f>IFERROR(AI22*(1-AI36/100),"")</f>
        <v/>
      </c>
      <c r="AJ39" s="14">
        <f>IFERROR(AJ22*(1-AJ36/100),"")</f>
        <v/>
      </c>
      <c r="AK39" s="14">
        <f>IFERROR(AK22*(1-AK36/100),"")</f>
        <v/>
      </c>
      <c r="AL39" s="14">
        <f>IFERROR(AL22*(1-AL36/100),"")</f>
        <v/>
      </c>
      <c r="AM39" s="14">
        <f>IFERROR(AM22*(1-AM36/100),"")</f>
        <v/>
      </c>
      <c r="AN39" s="14">
        <f>IFERROR(AN22*(1-AN36/100),"")</f>
        <v/>
      </c>
      <c r="AO39" s="14">
        <f>IFERROR(AO22*(1-AO36/100),"")</f>
        <v/>
      </c>
      <c r="AP39" s="14">
        <f>IFERROR(AP22*(1-AP36/100),"")</f>
        <v/>
      </c>
      <c r="AQ39" s="14">
        <f>IFERROR(AQ22*(1-AQ36/100),"")</f>
        <v/>
      </c>
      <c r="AR39" s="14">
        <f>IFERROR(AR22*(1-AR36/100),"")</f>
        <v/>
      </c>
      <c r="AS39" s="14">
        <f>IFERROR(AS22*(1-AS36/100),"")</f>
        <v/>
      </c>
      <c r="AT39" s="14">
        <f>IFERROR(AT22*(1-AT36/100),"")</f>
        <v/>
      </c>
      <c r="AU39" s="14">
        <f>IFERROR(AU22*(1-AU36/100),"")</f>
        <v/>
      </c>
      <c r="AV39" s="14">
        <f>IFERROR(AV22*(1-AV36/100),"")</f>
        <v/>
      </c>
      <c r="AW39" s="14">
        <f>IFERROR(AW22*(1-AW36/100),"")</f>
        <v/>
      </c>
      <c r="AX39" s="14">
        <f>IFERROR(AX22*(1-AX36/100),"")</f>
        <v/>
      </c>
      <c r="AY39" s="14">
        <f>IFERROR(AY22*(1-AY36/100),"")</f>
        <v/>
      </c>
    </row>
    <row r="40">
      <c r="A40" s="4" t="inlineStr">
        <is>
          <t>Prix plafond (€)</t>
        </is>
      </c>
      <c r="B40" s="13">
        <f>IFERROR(B22*(1-B37/100),"")</f>
        <v/>
      </c>
      <c r="C40" s="13">
        <f>IFERROR(C22*(1-C37/100),"")</f>
        <v/>
      </c>
      <c r="D40" s="13">
        <f>IFERROR(D22*(1-D37/100),"")</f>
        <v/>
      </c>
      <c r="E40" s="13">
        <f>IFERROR(E22*(1-E37/100),"")</f>
        <v/>
      </c>
      <c r="F40" s="13">
        <f>IFERROR(F22*(1-F37/100),"")</f>
        <v/>
      </c>
      <c r="G40" s="14">
        <f>IFERROR(G22*(1-G37/100),"")</f>
        <v/>
      </c>
      <c r="H40" s="14">
        <f>IFERROR(H22*(1-H37/100),"")</f>
        <v/>
      </c>
      <c r="I40" s="14">
        <f>IFERROR(I22*(1-I37/100),"")</f>
        <v/>
      </c>
      <c r="J40" s="14">
        <f>IFERROR(J22*(1-J37/100),"")</f>
        <v/>
      </c>
      <c r="K40" s="14">
        <f>IFERROR(K22*(1-K37/100),"")</f>
        <v/>
      </c>
      <c r="L40" s="14">
        <f>IFERROR(L22*(1-L37/100),"")</f>
        <v/>
      </c>
      <c r="M40" s="14">
        <f>IFERROR(M22*(1-M37/100),"")</f>
        <v/>
      </c>
      <c r="N40" s="14">
        <f>IFERROR(N22*(1-N37/100),"")</f>
        <v/>
      </c>
      <c r="O40" s="14">
        <f>IFERROR(O22*(1-O37/100),"")</f>
        <v/>
      </c>
      <c r="P40" s="14">
        <f>IFERROR(P22*(1-P37/100),"")</f>
        <v/>
      </c>
      <c r="Q40" s="14">
        <f>IFERROR(Q22*(1-Q37/100),"")</f>
        <v/>
      </c>
      <c r="R40" s="14">
        <f>IFERROR(R22*(1-R37/100),"")</f>
        <v/>
      </c>
      <c r="S40" s="14">
        <f>IFERROR(S22*(1-S37/100),"")</f>
        <v/>
      </c>
      <c r="T40" s="14">
        <f>IFERROR(T22*(1-T37/100),"")</f>
        <v/>
      </c>
      <c r="U40" s="14">
        <f>IFERROR(U22*(1-U37/100),"")</f>
        <v/>
      </c>
      <c r="V40" s="14">
        <f>IFERROR(V22*(1-V37/100),"")</f>
        <v/>
      </c>
      <c r="W40" s="14">
        <f>IFERROR(W22*(1-W37/100),"")</f>
        <v/>
      </c>
      <c r="X40" s="14">
        <f>IFERROR(X22*(1-X37/100),"")</f>
        <v/>
      </c>
      <c r="Y40" s="14">
        <f>IFERROR(Y22*(1-Y37/100),"")</f>
        <v/>
      </c>
      <c r="Z40" s="14">
        <f>IFERROR(Z22*(1-Z37/100),"")</f>
        <v/>
      </c>
      <c r="AA40" s="14">
        <f>IFERROR(AA22*(1-AA37/100),"")</f>
        <v/>
      </c>
      <c r="AB40" s="14">
        <f>IFERROR(AB22*(1-AB37/100),"")</f>
        <v/>
      </c>
      <c r="AC40" s="14">
        <f>IFERROR(AC22*(1-AC37/100),"")</f>
        <v/>
      </c>
      <c r="AD40" s="14">
        <f>IFERROR(AD22*(1-AD37/100),"")</f>
        <v/>
      </c>
      <c r="AE40" s="14">
        <f>IFERROR(AE22*(1-AE37/100),"")</f>
        <v/>
      </c>
      <c r="AF40" s="14">
        <f>IFERROR(AF22*(1-AF37/100),"")</f>
        <v/>
      </c>
      <c r="AG40" s="14">
        <f>IFERROR(AG22*(1-AG37/100),"")</f>
        <v/>
      </c>
      <c r="AH40" s="14">
        <f>IFERROR(AH22*(1-AH37/100),"")</f>
        <v/>
      </c>
      <c r="AI40" s="14">
        <f>IFERROR(AI22*(1-AI37/100),"")</f>
        <v/>
      </c>
      <c r="AJ40" s="14">
        <f>IFERROR(AJ22*(1-AJ37/100),"")</f>
        <v/>
      </c>
      <c r="AK40" s="14">
        <f>IFERROR(AK22*(1-AK37/100),"")</f>
        <v/>
      </c>
      <c r="AL40" s="14">
        <f>IFERROR(AL22*(1-AL37/100),"")</f>
        <v/>
      </c>
      <c r="AM40" s="14">
        <f>IFERROR(AM22*(1-AM37/100),"")</f>
        <v/>
      </c>
      <c r="AN40" s="14">
        <f>IFERROR(AN22*(1-AN37/100),"")</f>
        <v/>
      </c>
      <c r="AO40" s="14">
        <f>IFERROR(AO22*(1-AO37/100),"")</f>
        <v/>
      </c>
      <c r="AP40" s="14">
        <f>IFERROR(AP22*(1-AP37/100),"")</f>
        <v/>
      </c>
      <c r="AQ40" s="14">
        <f>IFERROR(AQ22*(1-AQ37/100),"")</f>
        <v/>
      </c>
      <c r="AR40" s="14">
        <f>IFERROR(AR22*(1-AR37/100),"")</f>
        <v/>
      </c>
      <c r="AS40" s="14">
        <f>IFERROR(AS22*(1-AS37/100),"")</f>
        <v/>
      </c>
      <c r="AT40" s="14">
        <f>IFERROR(AT22*(1-AT37/100),"")</f>
        <v/>
      </c>
      <c r="AU40" s="14">
        <f>IFERROR(AU22*(1-AU37/100),"")</f>
        <v/>
      </c>
      <c r="AV40" s="14">
        <f>IFERROR(AV22*(1-AV37/100),"")</f>
        <v/>
      </c>
      <c r="AW40" s="14">
        <f>IFERROR(AW22*(1-AW37/100),"")</f>
        <v/>
      </c>
      <c r="AX40" s="14">
        <f>IFERROR(AX22*(1-AX37/100),"")</f>
        <v/>
      </c>
      <c r="AY40" s="14">
        <f>IFERROR(AY22*(1-AY37/100),"")</f>
        <v/>
      </c>
    </row>
    <row r="41">
      <c r="A41" s="4" t="inlineStr">
        <is>
          <t>Prix client standard / kg (€)</t>
        </is>
      </c>
      <c r="B41" s="13">
        <f>IFERROR(B38/(B5/1000),"")</f>
        <v/>
      </c>
      <c r="C41" s="13">
        <f>IFERROR(C38/(C5/1000),"")</f>
        <v/>
      </c>
      <c r="D41" s="13">
        <f>IFERROR(D38/(D5/1000),"")</f>
        <v/>
      </c>
      <c r="E41" s="13">
        <f>IFERROR(E38/(E5/1000),"")</f>
        <v/>
      </c>
      <c r="F41" s="13">
        <f>IFERROR(F38/(F5/1000),"")</f>
        <v/>
      </c>
      <c r="G41" s="14">
        <f>IFERROR(G38/(G5/1000),"")</f>
        <v/>
      </c>
      <c r="H41" s="14">
        <f>IFERROR(H38/(H5/1000),"")</f>
        <v/>
      </c>
      <c r="I41" s="14">
        <f>IFERROR(I38/(I5/1000),"")</f>
        <v/>
      </c>
      <c r="J41" s="14">
        <f>IFERROR(J38/(J5/1000),"")</f>
        <v/>
      </c>
      <c r="K41" s="14">
        <f>IFERROR(K38/(K5/1000),"")</f>
        <v/>
      </c>
      <c r="L41" s="14">
        <f>IFERROR(L38/(L5/1000),"")</f>
        <v/>
      </c>
      <c r="M41" s="14">
        <f>IFERROR(M38/(M5/1000),"")</f>
        <v/>
      </c>
      <c r="N41" s="14">
        <f>IFERROR(N38/(N5/1000),"")</f>
        <v/>
      </c>
      <c r="O41" s="14">
        <f>IFERROR(O38/(O5/1000),"")</f>
        <v/>
      </c>
      <c r="P41" s="14">
        <f>IFERROR(P38/(P5/1000),"")</f>
        <v/>
      </c>
      <c r="Q41" s="14">
        <f>IFERROR(Q38/(Q5/1000),"")</f>
        <v/>
      </c>
      <c r="R41" s="14">
        <f>IFERROR(R38/(R5/1000),"")</f>
        <v/>
      </c>
      <c r="S41" s="14">
        <f>IFERROR(S38/(S5/1000),"")</f>
        <v/>
      </c>
      <c r="T41" s="14">
        <f>IFERROR(T38/(T5/1000),"")</f>
        <v/>
      </c>
      <c r="U41" s="14">
        <f>IFERROR(U38/(U5/1000),"")</f>
        <v/>
      </c>
      <c r="V41" s="14">
        <f>IFERROR(V38/(V5/1000),"")</f>
        <v/>
      </c>
      <c r="W41" s="14">
        <f>IFERROR(W38/(W5/1000),"")</f>
        <v/>
      </c>
      <c r="X41" s="14">
        <f>IFERROR(X38/(X5/1000),"")</f>
        <v/>
      </c>
      <c r="Y41" s="14">
        <f>IFERROR(Y38/(Y5/1000),"")</f>
        <v/>
      </c>
      <c r="Z41" s="14">
        <f>IFERROR(Z38/(Z5/1000),"")</f>
        <v/>
      </c>
      <c r="AA41" s="14">
        <f>IFERROR(AA38/(AA5/1000),"")</f>
        <v/>
      </c>
      <c r="AB41" s="14">
        <f>IFERROR(AB38/(AB5/1000),"")</f>
        <v/>
      </c>
      <c r="AC41" s="14">
        <f>IFERROR(AC38/(AC5/1000),"")</f>
        <v/>
      </c>
      <c r="AD41" s="14">
        <f>IFERROR(AD38/(AD5/1000),"")</f>
        <v/>
      </c>
      <c r="AE41" s="14">
        <f>IFERROR(AE38/(AE5/1000),"")</f>
        <v/>
      </c>
      <c r="AF41" s="14">
        <f>IFERROR(AF38/(AF5/1000),"")</f>
        <v/>
      </c>
      <c r="AG41" s="14">
        <f>IFERROR(AG38/(AG5/1000),"")</f>
        <v/>
      </c>
      <c r="AH41" s="14">
        <f>IFERROR(AH38/(AH5/1000),"")</f>
        <v/>
      </c>
      <c r="AI41" s="14">
        <f>IFERROR(AI38/(AI5/1000),"")</f>
        <v/>
      </c>
      <c r="AJ41" s="14">
        <f>IFERROR(AJ38/(AJ5/1000),"")</f>
        <v/>
      </c>
      <c r="AK41" s="14">
        <f>IFERROR(AK38/(AK5/1000),"")</f>
        <v/>
      </c>
      <c r="AL41" s="14">
        <f>IFERROR(AL38/(AL5/1000),"")</f>
        <v/>
      </c>
      <c r="AM41" s="14">
        <f>IFERROR(AM38/(AM5/1000),"")</f>
        <v/>
      </c>
      <c r="AN41" s="14">
        <f>IFERROR(AN38/(AN5/1000),"")</f>
        <v/>
      </c>
      <c r="AO41" s="14">
        <f>IFERROR(AO38/(AO5/1000),"")</f>
        <v/>
      </c>
      <c r="AP41" s="14">
        <f>IFERROR(AP38/(AP5/1000),"")</f>
        <v/>
      </c>
      <c r="AQ41" s="14">
        <f>IFERROR(AQ38/(AQ5/1000),"")</f>
        <v/>
      </c>
      <c r="AR41" s="14">
        <f>IFERROR(AR38/(AR5/1000),"")</f>
        <v/>
      </c>
      <c r="AS41" s="14">
        <f>IFERROR(AS38/(AS5/1000),"")</f>
        <v/>
      </c>
      <c r="AT41" s="14">
        <f>IFERROR(AT38/(AT5/1000),"")</f>
        <v/>
      </c>
      <c r="AU41" s="14">
        <f>IFERROR(AU38/(AU5/1000),"")</f>
        <v/>
      </c>
      <c r="AV41" s="14">
        <f>IFERROR(AV38/(AV5/1000),"")</f>
        <v/>
      </c>
      <c r="AW41" s="14">
        <f>IFERROR(AW38/(AW5/1000),"")</f>
        <v/>
      </c>
      <c r="AX41" s="14">
        <f>IFERROR(AX38/(AX5/1000),"")</f>
        <v/>
      </c>
      <c r="AY41" s="14">
        <f>IFERROR(AY38/(AY5/1000),"")</f>
        <v/>
      </c>
    </row>
    <row r="42">
      <c r="A42" s="4" t="inlineStr">
        <is>
          <t>Prix client standard / g prot (€)</t>
        </is>
      </c>
      <c r="B42" s="15">
        <f>IFERROR(B38/(B15*B13),"")</f>
        <v/>
      </c>
      <c r="C42" s="15">
        <f>IFERROR(C38/(C15*C13),"")</f>
        <v/>
      </c>
      <c r="D42" s="15">
        <f>IFERROR(D38/(D15*D13),"")</f>
        <v/>
      </c>
      <c r="E42" s="15">
        <f>IFERROR(E38/(E15*E13),"")</f>
        <v/>
      </c>
      <c r="F42" s="15">
        <f>IFERROR(F38/(F15*F13),"")</f>
        <v/>
      </c>
      <c r="G42" s="16">
        <f>IFERROR(G38/(G15*G13),"")</f>
        <v/>
      </c>
      <c r="H42" s="16">
        <f>IFERROR(H38/(H15*H13),"")</f>
        <v/>
      </c>
      <c r="I42" s="16">
        <f>IFERROR(I38/(I15*I13),"")</f>
        <v/>
      </c>
      <c r="J42" s="16">
        <f>IFERROR(J38/(J15*J13),"")</f>
        <v/>
      </c>
      <c r="K42" s="16">
        <f>IFERROR(K38/(K15*K13),"")</f>
        <v/>
      </c>
      <c r="L42" s="16">
        <f>IFERROR(L38/(L15*L13),"")</f>
        <v/>
      </c>
      <c r="M42" s="16">
        <f>IFERROR(M38/(M15*M13),"")</f>
        <v/>
      </c>
      <c r="N42" s="16">
        <f>IFERROR(N38/(N15*N13),"")</f>
        <v/>
      </c>
      <c r="O42" s="16">
        <f>IFERROR(O38/(O15*O13),"")</f>
        <v/>
      </c>
      <c r="P42" s="16">
        <f>IFERROR(P38/(P15*P13),"")</f>
        <v/>
      </c>
      <c r="Q42" s="16">
        <f>IFERROR(Q38/(Q15*Q13),"")</f>
        <v/>
      </c>
      <c r="R42" s="16">
        <f>IFERROR(R38/(R15*R13),"")</f>
        <v/>
      </c>
      <c r="S42" s="16">
        <f>IFERROR(S38/(S15*S13),"")</f>
        <v/>
      </c>
      <c r="T42" s="16">
        <f>IFERROR(T38/(T15*T13),"")</f>
        <v/>
      </c>
      <c r="U42" s="16">
        <f>IFERROR(U38/(U15*U13),"")</f>
        <v/>
      </c>
      <c r="V42" s="16">
        <f>IFERROR(V38/(V15*V13),"")</f>
        <v/>
      </c>
      <c r="W42" s="16">
        <f>IFERROR(W38/(W15*W13),"")</f>
        <v/>
      </c>
      <c r="X42" s="16">
        <f>IFERROR(X38/(X15*X13),"")</f>
        <v/>
      </c>
      <c r="Y42" s="16">
        <f>IFERROR(Y38/(Y15*Y13),"")</f>
        <v/>
      </c>
      <c r="Z42" s="16">
        <f>IFERROR(Z38/(Z15*Z13),"")</f>
        <v/>
      </c>
      <c r="AA42" s="16">
        <f>IFERROR(AA38/(AA15*AA13),"")</f>
        <v/>
      </c>
      <c r="AB42" s="16">
        <f>IFERROR(AB38/(AB15*AB13),"")</f>
        <v/>
      </c>
      <c r="AC42" s="16">
        <f>IFERROR(AC38/(AC15*AC13),"")</f>
        <v/>
      </c>
      <c r="AD42" s="16">
        <f>IFERROR(AD38/(AD15*AD13),"")</f>
        <v/>
      </c>
      <c r="AE42" s="16">
        <f>IFERROR(AE38/(AE15*AE13),"")</f>
        <v/>
      </c>
      <c r="AF42" s="16">
        <f>IFERROR(AF38/(AF15*AF13),"")</f>
        <v/>
      </c>
      <c r="AG42" s="16">
        <f>IFERROR(AG38/(AG15*AG13),"")</f>
        <v/>
      </c>
      <c r="AH42" s="16">
        <f>IFERROR(AH38/(AH15*AH13),"")</f>
        <v/>
      </c>
      <c r="AI42" s="16">
        <f>IFERROR(AI38/(AI15*AI13),"")</f>
        <v/>
      </c>
      <c r="AJ42" s="16">
        <f>IFERROR(AJ38/(AJ15*AJ13),"")</f>
        <v/>
      </c>
      <c r="AK42" s="16">
        <f>IFERROR(AK38/(AK15*AK13),"")</f>
        <v/>
      </c>
      <c r="AL42" s="16">
        <f>IFERROR(AL38/(AL15*AL13),"")</f>
        <v/>
      </c>
      <c r="AM42" s="16">
        <f>IFERROR(AM38/(AM15*AM13),"")</f>
        <v/>
      </c>
      <c r="AN42" s="16">
        <f>IFERROR(AN38/(AN15*AN13),"")</f>
        <v/>
      </c>
      <c r="AO42" s="16">
        <f>IFERROR(AO38/(AO15*AO13),"")</f>
        <v/>
      </c>
      <c r="AP42" s="16">
        <f>IFERROR(AP38/(AP15*AP13),"")</f>
        <v/>
      </c>
      <c r="AQ42" s="16">
        <f>IFERROR(AQ38/(AQ15*AQ13),"")</f>
        <v/>
      </c>
      <c r="AR42" s="16">
        <f>IFERROR(AR38/(AR15*AR13),"")</f>
        <v/>
      </c>
      <c r="AS42" s="16">
        <f>IFERROR(AS38/(AS15*AS13),"")</f>
        <v/>
      </c>
      <c r="AT42" s="16">
        <f>IFERROR(AT38/(AT15*AT13),"")</f>
        <v/>
      </c>
      <c r="AU42" s="16">
        <f>IFERROR(AU38/(AU15*AU13),"")</f>
        <v/>
      </c>
      <c r="AV42" s="16">
        <f>IFERROR(AV38/(AV15*AV13),"")</f>
        <v/>
      </c>
      <c r="AW42" s="16">
        <f>IFERROR(AW38/(AW15*AW13),"")</f>
        <v/>
      </c>
      <c r="AX42" s="16">
        <f>IFERROR(AX38/(AX15*AX13),"")</f>
        <v/>
      </c>
      <c r="AY42" s="16">
        <f>IFERROR(AY38/(AY15*AY13),"")</f>
        <v/>
      </c>
    </row>
    <row r="43">
      <c r="A43" s="4" t="inlineStr">
        <is>
          <t>Prix client averti / g prot (€)</t>
        </is>
      </c>
      <c r="B43" s="15">
        <f>IFERROR(B39/(B15*B13),"")</f>
        <v/>
      </c>
      <c r="C43" s="15">
        <f>IFERROR(C39/(C15*C13),"")</f>
        <v/>
      </c>
      <c r="D43" s="15">
        <f>IFERROR(D39/(D15*D13),"")</f>
        <v/>
      </c>
      <c r="E43" s="15">
        <f>IFERROR(E39/(E15*E13),"")</f>
        <v/>
      </c>
      <c r="F43" s="15">
        <f>IFERROR(F39/(F15*F13),"")</f>
        <v/>
      </c>
      <c r="G43" s="16">
        <f>IFERROR(G39/(G15*G13),"")</f>
        <v/>
      </c>
      <c r="H43" s="16">
        <f>IFERROR(H39/(H15*H13),"")</f>
        <v/>
      </c>
      <c r="I43" s="16">
        <f>IFERROR(I39/(I15*I13),"")</f>
        <v/>
      </c>
      <c r="J43" s="16">
        <f>IFERROR(J39/(J15*J13),"")</f>
        <v/>
      </c>
      <c r="K43" s="16">
        <f>IFERROR(K39/(K15*K13),"")</f>
        <v/>
      </c>
      <c r="L43" s="16">
        <f>IFERROR(L39/(L15*L13),"")</f>
        <v/>
      </c>
      <c r="M43" s="16">
        <f>IFERROR(M39/(M15*M13),"")</f>
        <v/>
      </c>
      <c r="N43" s="16">
        <f>IFERROR(N39/(N15*N13),"")</f>
        <v/>
      </c>
      <c r="O43" s="16">
        <f>IFERROR(O39/(O15*O13),"")</f>
        <v/>
      </c>
      <c r="P43" s="16">
        <f>IFERROR(P39/(P15*P13),"")</f>
        <v/>
      </c>
      <c r="Q43" s="16">
        <f>IFERROR(Q39/(Q15*Q13),"")</f>
        <v/>
      </c>
      <c r="R43" s="16">
        <f>IFERROR(R39/(R15*R13),"")</f>
        <v/>
      </c>
      <c r="S43" s="16">
        <f>IFERROR(S39/(S15*S13),"")</f>
        <v/>
      </c>
      <c r="T43" s="16">
        <f>IFERROR(T39/(T15*T13),"")</f>
        <v/>
      </c>
      <c r="U43" s="16">
        <f>IFERROR(U39/(U15*U13),"")</f>
        <v/>
      </c>
      <c r="V43" s="16">
        <f>IFERROR(V39/(V15*V13),"")</f>
        <v/>
      </c>
      <c r="W43" s="16">
        <f>IFERROR(W39/(W15*W13),"")</f>
        <v/>
      </c>
      <c r="X43" s="16">
        <f>IFERROR(X39/(X15*X13),"")</f>
        <v/>
      </c>
      <c r="Y43" s="16">
        <f>IFERROR(Y39/(Y15*Y13),"")</f>
        <v/>
      </c>
      <c r="Z43" s="16">
        <f>IFERROR(Z39/(Z15*Z13),"")</f>
        <v/>
      </c>
      <c r="AA43" s="16">
        <f>IFERROR(AA39/(AA15*AA13),"")</f>
        <v/>
      </c>
      <c r="AB43" s="16">
        <f>IFERROR(AB39/(AB15*AB13),"")</f>
        <v/>
      </c>
      <c r="AC43" s="16">
        <f>IFERROR(AC39/(AC15*AC13),"")</f>
        <v/>
      </c>
      <c r="AD43" s="16">
        <f>IFERROR(AD39/(AD15*AD13),"")</f>
        <v/>
      </c>
      <c r="AE43" s="16">
        <f>IFERROR(AE39/(AE15*AE13),"")</f>
        <v/>
      </c>
      <c r="AF43" s="16">
        <f>IFERROR(AF39/(AF15*AF13),"")</f>
        <v/>
      </c>
      <c r="AG43" s="16">
        <f>IFERROR(AG39/(AG15*AG13),"")</f>
        <v/>
      </c>
      <c r="AH43" s="16">
        <f>IFERROR(AH39/(AH15*AH13),"")</f>
        <v/>
      </c>
      <c r="AI43" s="16">
        <f>IFERROR(AI39/(AI15*AI13),"")</f>
        <v/>
      </c>
      <c r="AJ43" s="16">
        <f>IFERROR(AJ39/(AJ15*AJ13),"")</f>
        <v/>
      </c>
      <c r="AK43" s="16">
        <f>IFERROR(AK39/(AK15*AK13),"")</f>
        <v/>
      </c>
      <c r="AL43" s="16">
        <f>IFERROR(AL39/(AL15*AL13),"")</f>
        <v/>
      </c>
      <c r="AM43" s="16">
        <f>IFERROR(AM39/(AM15*AM13),"")</f>
        <v/>
      </c>
      <c r="AN43" s="16">
        <f>IFERROR(AN39/(AN15*AN13),"")</f>
        <v/>
      </c>
      <c r="AO43" s="16">
        <f>IFERROR(AO39/(AO15*AO13),"")</f>
        <v/>
      </c>
      <c r="AP43" s="16">
        <f>IFERROR(AP39/(AP15*AP13),"")</f>
        <v/>
      </c>
      <c r="AQ43" s="16">
        <f>IFERROR(AQ39/(AQ15*AQ13),"")</f>
        <v/>
      </c>
      <c r="AR43" s="16">
        <f>IFERROR(AR39/(AR15*AR13),"")</f>
        <v/>
      </c>
      <c r="AS43" s="16">
        <f>IFERROR(AS39/(AS15*AS13),"")</f>
        <v/>
      </c>
      <c r="AT43" s="16">
        <f>IFERROR(AT39/(AT15*AT13),"")</f>
        <v/>
      </c>
      <c r="AU43" s="16">
        <f>IFERROR(AU39/(AU15*AU13),"")</f>
        <v/>
      </c>
      <c r="AV43" s="16">
        <f>IFERROR(AV39/(AV15*AV13),"")</f>
        <v/>
      </c>
      <c r="AW43" s="16">
        <f>IFERROR(AW39/(AW15*AW13),"")</f>
        <v/>
      </c>
      <c r="AX43" s="16">
        <f>IFERROR(AX39/(AX15*AX13),"")</f>
        <v/>
      </c>
      <c r="AY43" s="16">
        <f>IFERROR(AY39/(AY15*AY13),"")</f>
        <v/>
      </c>
    </row>
    <row r="44" ht="15.5" customHeight="1" s="24">
      <c r="A44" s="7" t="inlineStr">
        <is>
          <t>DISTRIBUTION &amp; SOURCE</t>
        </is>
      </c>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row>
    <row r="45" ht="43.5" customHeight="1" s="24">
      <c r="A45" s="4" t="inlineStr">
        <is>
          <t>Canaux de vente</t>
        </is>
      </c>
      <c r="B45" s="9" t="inlineStr">
        <is>
          <t>site_propre</t>
        </is>
      </c>
      <c r="C45" s="9" t="inlineStr">
        <is>
          <t>site_propre</t>
        </is>
      </c>
      <c r="D45" s="9" t="inlineStr">
        <is>
          <t>site_propre</t>
        </is>
      </c>
      <c r="E45" s="9" t="inlineStr">
        <is>
          <t>Site propre</t>
        </is>
      </c>
      <c r="F45" s="9" t="inlineStr">
        <is>
          <t>Site propre</t>
        </is>
      </c>
      <c r="G45" s="10" t="inlineStr">
        <is>
          <t>Site propre, Amazon</t>
        </is>
      </c>
      <c r="H45" s="10" t="inlineStr">
        <is>
          <t>Site propre, Amazon</t>
        </is>
      </c>
      <c r="I45" s="10" t="inlineStr">
        <is>
          <t>Site propre, Amazon</t>
        </is>
      </c>
      <c r="J45" s="10" t="inlineStr">
        <is>
          <t>Site propre, Amazon, revendeurs</t>
        </is>
      </c>
      <c r="K45" s="10" t="inlineStr">
        <is>
          <t>Site propre, Amazon, revendeurs</t>
        </is>
      </c>
      <c r="L45" s="10" t="inlineStr">
        <is>
          <t>Site propre, Amazon, revendeurs</t>
        </is>
      </c>
      <c r="M45" s="10" t="inlineStr">
        <is>
          <t>Site propre, Amazon, revendeurs</t>
        </is>
      </c>
      <c r="N45" s="10" t="inlineStr">
        <is>
          <t>Site propre, Amazon, revendeurs</t>
        </is>
      </c>
      <c r="O45" s="10" t="inlineStr">
        <is>
          <t>Site propre, Amazon, revendeurs</t>
        </is>
      </c>
      <c r="P45" s="10" t="inlineStr">
        <is>
          <t>Site propre, Amazon, revendeurs</t>
        </is>
      </c>
      <c r="Q45" s="10" t="inlineStr">
        <is>
          <t>Site propre, Amazon, revendeurs</t>
        </is>
      </c>
      <c r="R45" s="10" t="inlineStr">
        <is>
          <t>Site propre, Pharmacies, Amazon</t>
        </is>
      </c>
      <c r="S45" s="10" t="inlineStr">
        <is>
          <t>Site propre, Pharmacies, Amazon</t>
        </is>
      </c>
      <c r="T45" s="10" t="inlineStr">
        <is>
          <t>Site propre</t>
        </is>
      </c>
      <c r="U45" s="10" t="inlineStr">
        <is>
          <t>Site propre, Amazon</t>
        </is>
      </c>
      <c r="V45" s="10" t="inlineStr">
        <is>
          <t>Site propre, Amazon</t>
        </is>
      </c>
      <c r="W45" s="10" t="inlineStr">
        <is>
          <t>Site propre, Amazon</t>
        </is>
      </c>
      <c r="X45" s="10" t="inlineStr">
        <is>
          <t>Site propre, Amazon</t>
        </is>
      </c>
      <c r="Y45" s="10" t="inlineStr">
        <is>
          <t>Site propre, Amazon</t>
        </is>
      </c>
      <c r="Z45" s="10" t="inlineStr">
        <is>
          <t>Site propre, Amazon</t>
        </is>
      </c>
      <c r="AA45" s="10" t="inlineStr">
        <is>
          <t>Site propre, Amazon</t>
        </is>
      </c>
      <c r="AB45" s="10" t="inlineStr">
        <is>
          <t>Site propre, Amazon</t>
        </is>
      </c>
      <c r="AC45" s="10" t="inlineStr">
        <is>
          <t>Site propre, Amazon, Pharmacies</t>
        </is>
      </c>
      <c r="AD45" s="10" t="inlineStr">
        <is>
          <t>Site propre, Amazon, Pharmacies</t>
        </is>
      </c>
      <c r="AE45" s="10" t="inlineStr">
        <is>
          <t>Site propre, Amazon, Pharmacies</t>
        </is>
      </c>
      <c r="AF45" s="10" t="inlineStr">
        <is>
          <t>Site propre, Amazon, Pharmacies</t>
        </is>
      </c>
      <c r="AG45" s="10" t="inlineStr">
        <is>
          <t>Site propre, Amazon, Pharmacies</t>
        </is>
      </c>
      <c r="AH45" s="10" t="inlineStr">
        <is>
          <t>Site propre, Amazon, Pharmacies</t>
        </is>
      </c>
      <c r="AI45" s="10" t="inlineStr">
        <is>
          <t>Site propre, Amazon</t>
        </is>
      </c>
      <c r="AJ45" s="10" t="inlineStr">
        <is>
          <t>Site propre</t>
        </is>
      </c>
      <c r="AK45" s="10" t="inlineStr">
        <is>
          <t>Site propre, Amazon</t>
        </is>
      </c>
      <c r="AL45" s="10" t="inlineStr">
        <is>
          <t>Site propre</t>
        </is>
      </c>
      <c r="AM45" s="10" t="inlineStr">
        <is>
          <t>Site propre</t>
        </is>
      </c>
      <c r="AN45" s="10" t="inlineStr">
        <is>
          <t>Site propre</t>
        </is>
      </c>
      <c r="AO45" s="10" t="inlineStr">
        <is>
          <t>Site propre, Amazon</t>
        </is>
      </c>
      <c r="AP45" s="10" t="inlineStr">
        <is>
          <t>Site propre, Amazon</t>
        </is>
      </c>
      <c r="AQ45" s="10" t="inlineStr">
        <is>
          <t>Site propre, Amazon, revendeurs</t>
        </is>
      </c>
      <c r="AR45" s="10" t="inlineStr">
        <is>
          <t>Site propre</t>
        </is>
      </c>
      <c r="AS45" s="10" t="inlineStr">
        <is>
          <t>Site propre</t>
        </is>
      </c>
      <c r="AT45" s="10" t="inlineStr">
        <is>
          <t>Site propre, Amazon</t>
        </is>
      </c>
      <c r="AU45" s="10" t="inlineStr">
        <is>
          <t>Site propre, Amazon</t>
        </is>
      </c>
      <c r="AV45" s="10" t="inlineStr">
        <is>
          <t>Site propre, Amazon</t>
        </is>
      </c>
      <c r="AW45" s="10" t="inlineStr">
        <is>
          <t>Site propre, Amazon</t>
        </is>
      </c>
      <c r="AX45" s="10" t="inlineStr">
        <is>
          <t>Site propre, Amazon</t>
        </is>
      </c>
      <c r="AY45" s="10" t="inlineStr">
        <is>
          <t>Site propre, Amazon</t>
        </is>
      </c>
    </row>
    <row r="46" ht="87" customHeight="1" s="24">
      <c r="A46" s="4" t="inlineStr">
        <is>
          <t>Source URL (principale)</t>
        </is>
      </c>
      <c r="B46" s="9" t="inlineStr">
        <is>
          <t>https://impulse-nutrition.fr/products/whey-isolate-saveur-chocolat</t>
        </is>
      </c>
      <c r="C46" s="9" t="inlineStr">
        <is>
          <t>https://impulse-nutrition.fr/products/whey-isolate-saveur-vanille</t>
        </is>
      </c>
      <c r="D46" s="9" t="inlineStr">
        <is>
          <t>https://impulse-nutrition.fr/products/whey-isolate-nature</t>
        </is>
      </c>
      <c r="E46" s="9" t="inlineStr">
        <is>
          <t>https://impulse-nutrition.fr/products/whey-recovery-saveur-chocolat</t>
        </is>
      </c>
      <c r="F46" s="9" t="inlineStr">
        <is>
          <t>https://impulse-nutrition.fr/products/whey-recovery-saveur-vanille</t>
        </is>
      </c>
      <c r="G46" s="10" t="inlineStr">
        <is>
          <t>https://www.nutripure.fr/produits/whey-isolat-native-chocolat</t>
        </is>
      </c>
      <c r="H46" s="10" t="inlineStr">
        <is>
          <t>https://www.nutripure.fr/fr/musculation/147-1115-whey-chocolat-isolate.html#/332-poids_poudre-seau_2kg</t>
        </is>
      </c>
      <c r="I46" s="10" t="inlineStr">
        <is>
          <t>https://www.nutripure.fr/fr/musculation/147-674-whey-chocolat-isolate.html#/47-poids_poudre-seau_4kg</t>
        </is>
      </c>
      <c r="J46" s="10" t="inlineStr">
        <is>
          <t>https://www.nutrimuscle.com/products/whey-native-isolate</t>
        </is>
      </c>
      <c r="K46" s="10" t="inlineStr">
        <is>
          <t>https://www.nutrimuscle.com/products/whey-isolat-native</t>
        </is>
      </c>
      <c r="L46" s="10" t="inlineStr">
        <is>
          <t>https://www.nutrimuscle.com/products/whey-native-isolate</t>
        </is>
      </c>
      <c r="M46" s="10" t="inlineStr">
        <is>
          <t>https://www.nutrimuscle.com/products/whey-native-isolate</t>
        </is>
      </c>
      <c r="N46" s="10" t="inlineStr">
        <is>
          <t>https://www.nutrimuscle.com/products/whey-native</t>
        </is>
      </c>
      <c r="O46" s="10" t="inlineStr">
        <is>
          <t>https://www.nutrimuscle.com/products/whey-concentree-native</t>
        </is>
      </c>
      <c r="P46" s="10" t="inlineStr">
        <is>
          <t>https://www.nutrimuscle.com/products/whey-native</t>
        </is>
      </c>
      <c r="Q46" s="10" t="inlineStr">
        <is>
          <t>https://www.nutrimuscle.com/products/whey-native</t>
        </is>
      </c>
      <c r="R46" s="10" t="inlineStr">
        <is>
          <t>https://nutriandco.com/fr/produits/whey-isolate-native</t>
        </is>
      </c>
      <c r="S46" s="10" t="inlineStr">
        <is>
          <t>https://nutriandco.com/fr/produits/whey-native</t>
        </is>
      </c>
      <c r="T46" s="10" t="inlineStr">
        <is>
          <t>https://www.aqeelab-nutrition.fr/products/whey-native-fabriquee-en-france-lait-francais</t>
        </is>
      </c>
      <c r="U46" s="10" t="inlineStr">
        <is>
          <t>https://www.ericfavre.com/fr_fr/proteines/iso-zero-100-whey-proteine-cookies-cream-500g-p-194-o-1216.htm</t>
        </is>
      </c>
      <c r="V46" s="10" t="inlineStr">
        <is>
          <t>https://www.ericfavre.com/fr_fr/proteines/iso-zero-100-whey-proteine-choco-intense-1-5kg-p-194-o-1200.htm</t>
        </is>
      </c>
      <c r="W46" s="10" t="inlineStr">
        <is>
          <t>https://www.ericfavre.com/fr_fr/proteines/iso-zero-100-whey-proteine-chocotella-2kg-p-194-o-155.htm</t>
        </is>
      </c>
      <c r="X46" s="10" t="inlineStr">
        <is>
          <t>https://www.ericfavre.com/fr_fr/proteines/whey-optimax-protein-biscuit-cookie-500g-p-622-o-1369.htm</t>
        </is>
      </c>
      <c r="Y46" s="10" t="inlineStr">
        <is>
          <t>https://www.ericfavre.com/fr_fr/proteines/whey-optimax-protein-chocolat-1-5kg-p-622-o-1370.htm</t>
        </is>
      </c>
      <c r="Z46" s="10" t="inlineStr">
        <is>
          <t>https://www.ericfavre.com/fr_fr/proteines/whey-zero-chocolat-2kg-p-517-o-1093.htm</t>
        </is>
      </c>
      <c r="AA46" s="10" t="inlineStr">
        <is>
          <t>https://www.ericfavre.com/fr_fr/proteines/iso-fusion-biscuit-cookie-750g-p-907-o-1924.htm</t>
        </is>
      </c>
      <c r="AB46" s="10" t="inlineStr">
        <is>
          <t>https://www.ericfavre.com/fr_fr/proteines/iso-fusion-biscuit-cookie-2kg-p-907-o-1925.htm</t>
        </is>
      </c>
      <c r="AC46" s="10" t="inlineStr">
        <is>
          <t>https://www.eafit.com/eafit-pure-isolate.html</t>
        </is>
      </c>
      <c r="AD46" s="10" t="inlineStr">
        <is>
          <t>https://www.eafit.com/eafit-pure-isolate-premium.html</t>
        </is>
      </c>
      <c r="AE46" s="10" t="inlineStr">
        <is>
          <t>https://www.eafit.com/eafit-pure-whey.html</t>
        </is>
      </c>
      <c r="AF46" s="10" t="inlineStr">
        <is>
          <t>https://www.eafit.com/eafit-megawhey.html</t>
        </is>
      </c>
      <c r="AG46" s="10" t="inlineStr">
        <is>
          <t>https://www.eafit.com/eafit-pure-whey.html</t>
        </is>
      </c>
      <c r="AH46" s="10" t="inlineStr">
        <is>
          <t>https://www.eafit.com/eafit-pure-whey.html</t>
        </is>
      </c>
      <c r="AI46" s="10" t="inlineStr">
        <is>
          <t>https://www.bulk.com/fr/pure-whey-isolate-90.html</t>
        </is>
      </c>
      <c r="AJ46" s="10" t="inlineStr">
        <is>
          <t>https://www.bulk.com/fr/pure-whey-isolate-90.html</t>
        </is>
      </c>
      <c r="AK46" s="10" t="inlineStr">
        <is>
          <t>https://www.bulk.com/fr/pure-whey-protein-1.html</t>
        </is>
      </c>
      <c r="AL46" s="10" t="inlineStr">
        <is>
          <t>https://www.bulk.com/fr/pure-whey-protein-1.html</t>
        </is>
      </c>
      <c r="AM46" s="10" t="inlineStr">
        <is>
          <t>https://www.bulk.com/fr/pure-whey-protein-1.html</t>
        </is>
      </c>
      <c r="AN46" s="10" t="inlineStr">
        <is>
          <t>https://www.bulk.com/fr/clear-whey-isolate.html</t>
        </is>
      </c>
      <c r="AO46" s="10" t="inlineStr">
        <is>
          <t>https://fr.myprotein.com/p/nutrition-sportive/impact-whey-isolate/10852482/</t>
        </is>
      </c>
      <c r="AP46" s="10" t="inlineStr">
        <is>
          <t>https://fr.myprotein.com/p/nutrition-sportive/impact-whey-isolate-framboise-poche-2.5-kg/10530927/</t>
        </is>
      </c>
      <c r="AQ46" s="10" t="inlineStr">
        <is>
          <t>https://fr.myprotein.com/p/nutrition-sportive/myprotein-impact-whey-protein-chocolate-1kg/11068071/</t>
        </is>
      </c>
      <c r="AR46" s="10" t="inlineStr">
        <is>
          <t>https://fr.myprotein.com/p/nutrition-sportive/myprotein-impact-whey-protein-chocolate-nut-2.5kg/10530969/</t>
        </is>
      </c>
      <c r="AS46" s="10" t="inlineStr">
        <is>
          <t>https://fr.myprotein.com/p/nutrition-sportive/impact-whey-protein/10530943/</t>
        </is>
      </c>
      <c r="AT46" s="10" t="inlineStr">
        <is>
          <t>https://fr.myprotein.com/p/nutrition-sportive/clear-whey-isolate/12081395/</t>
        </is>
      </c>
      <c r="AU46" s="10" t="inlineStr">
        <is>
          <t>https://shop.biotechusa.fr/products/iso-whey-zero-908-g</t>
        </is>
      </c>
      <c r="AV46" s="10" t="inlineStr">
        <is>
          <t>https://shop.biotechusa.fr/products/iso-whey-zero-poudre-de-proteine-isolat-1816-g</t>
        </is>
      </c>
      <c r="AW46" s="10" t="inlineStr">
        <is>
          <t>https://shop.biotechusa.fr/products/100-pure-whey-400-g</t>
        </is>
      </c>
      <c r="AX46" s="10" t="inlineStr">
        <is>
          <t>https://shop.biotechusa.fr/products/100-pure-whey-renouvele-1000-g</t>
        </is>
      </c>
      <c r="AY46" s="10" t="inlineStr">
        <is>
          <t>https://shop.biotechusa.fr/products/100-pure-whey-2000-g</t>
        </is>
      </c>
    </row>
    <row r="47">
      <c r="A47" s="4" t="inlineStr">
        <is>
          <t>Date snapshot</t>
        </is>
      </c>
      <c r="B47" s="9" t="inlineStr">
        <is>
          <t>2026-04-14</t>
        </is>
      </c>
      <c r="C47" s="9" t="inlineStr">
        <is>
          <t>2026-04-14</t>
        </is>
      </c>
      <c r="D47" s="9" t="inlineStr">
        <is>
          <t>2026-04-14</t>
        </is>
      </c>
      <c r="E47" s="9" t="inlineStr">
        <is>
          <t>2026-04-14</t>
        </is>
      </c>
      <c r="F47" s="9" t="inlineStr">
        <is>
          <t>2026-04-14</t>
        </is>
      </c>
      <c r="G47" s="10" t="inlineStr">
        <is>
          <t>2026-04-14</t>
        </is>
      </c>
      <c r="H47" s="10" t="inlineStr">
        <is>
          <t>2026-04-14</t>
        </is>
      </c>
      <c r="I47" s="10" t="inlineStr">
        <is>
          <t>2026-04-14</t>
        </is>
      </c>
      <c r="J47" s="10" t="inlineStr">
        <is>
          <t>2026-04-14</t>
        </is>
      </c>
      <c r="K47" s="10" t="inlineStr">
        <is>
          <t>2026-04-14</t>
        </is>
      </c>
      <c r="L47" s="10" t="inlineStr">
        <is>
          <t>2026-04-14</t>
        </is>
      </c>
      <c r="M47" s="10" t="inlineStr">
        <is>
          <t>2026-04-14</t>
        </is>
      </c>
      <c r="N47" s="10" t="inlineStr">
        <is>
          <t>2026-04-14</t>
        </is>
      </c>
      <c r="O47" s="10" t="inlineStr">
        <is>
          <t>2026-04-14</t>
        </is>
      </c>
      <c r="P47" s="10" t="inlineStr">
        <is>
          <t>2026-04-14</t>
        </is>
      </c>
      <c r="Q47" s="10" t="inlineStr">
        <is>
          <t>2026-04-14</t>
        </is>
      </c>
      <c r="R47" s="10" t="inlineStr">
        <is>
          <t>2026-04-14</t>
        </is>
      </c>
      <c r="S47" s="10" t="inlineStr">
        <is>
          <t>2026-04-14</t>
        </is>
      </c>
      <c r="T47" s="10" t="inlineStr">
        <is>
          <t>2026-04-14</t>
        </is>
      </c>
      <c r="U47" s="10" t="inlineStr">
        <is>
          <t>2026-04-14</t>
        </is>
      </c>
      <c r="V47" s="10" t="inlineStr">
        <is>
          <t>2026-04-14</t>
        </is>
      </c>
      <c r="W47" s="10" t="inlineStr">
        <is>
          <t>2026-04-14</t>
        </is>
      </c>
      <c r="X47" s="10" t="inlineStr">
        <is>
          <t>2026-04-14</t>
        </is>
      </c>
      <c r="Y47" s="10" t="inlineStr">
        <is>
          <t>2026-04-14</t>
        </is>
      </c>
      <c r="Z47" s="10" t="inlineStr">
        <is>
          <t>2026-04-14</t>
        </is>
      </c>
      <c r="AA47" s="10" t="inlineStr">
        <is>
          <t>2026-04-14</t>
        </is>
      </c>
      <c r="AB47" s="10" t="inlineStr">
        <is>
          <t>2026-04-14</t>
        </is>
      </c>
      <c r="AC47" s="10" t="inlineStr">
        <is>
          <t>2026-04-14</t>
        </is>
      </c>
      <c r="AD47" s="10" t="inlineStr">
        <is>
          <t>2026-04-14</t>
        </is>
      </c>
      <c r="AE47" s="10" t="inlineStr">
        <is>
          <t>2026-04-14</t>
        </is>
      </c>
      <c r="AF47" s="10" t="inlineStr">
        <is>
          <t>2026-04-14</t>
        </is>
      </c>
      <c r="AG47" s="10" t="inlineStr">
        <is>
          <t>2026-04-14</t>
        </is>
      </c>
      <c r="AH47" s="10" t="inlineStr">
        <is>
          <t>2026-04-14</t>
        </is>
      </c>
      <c r="AI47" s="10" t="inlineStr">
        <is>
          <t>2026-04-14</t>
        </is>
      </c>
      <c r="AJ47" s="10" t="inlineStr">
        <is>
          <t>2026-04-14</t>
        </is>
      </c>
      <c r="AK47" s="10" t="inlineStr">
        <is>
          <t>2026-04-14</t>
        </is>
      </c>
      <c r="AL47" s="10" t="inlineStr">
        <is>
          <t>2026-04-14</t>
        </is>
      </c>
      <c r="AM47" s="10" t="inlineStr">
        <is>
          <t>2026-04-14</t>
        </is>
      </c>
      <c r="AN47" s="10" t="inlineStr">
        <is>
          <t>2026-04-14</t>
        </is>
      </c>
      <c r="AO47" s="10" t="inlineStr">
        <is>
          <t>2026-04-14</t>
        </is>
      </c>
      <c r="AP47" s="10" t="inlineStr">
        <is>
          <t>2026-04-14</t>
        </is>
      </c>
      <c r="AQ47" s="10" t="inlineStr">
        <is>
          <t>2026-04-14</t>
        </is>
      </c>
      <c r="AR47" s="10" t="inlineStr">
        <is>
          <t>2026-04-14</t>
        </is>
      </c>
      <c r="AS47" s="10" t="inlineStr">
        <is>
          <t>2026-04-14</t>
        </is>
      </c>
      <c r="AT47" s="10" t="inlineStr">
        <is>
          <t>2026-04-14</t>
        </is>
      </c>
      <c r="AU47" s="10" t="inlineStr">
        <is>
          <t>2026-04-14</t>
        </is>
      </c>
      <c r="AV47" s="10" t="inlineStr">
        <is>
          <t>2026-04-14</t>
        </is>
      </c>
      <c r="AW47" s="10" t="inlineStr">
        <is>
          <t>2026-04-14</t>
        </is>
      </c>
      <c r="AX47" s="10" t="inlineStr">
        <is>
          <t>2026-04-14</t>
        </is>
      </c>
      <c r="AY47" s="10" t="inlineStr">
        <is>
          <t>2026-04-14</t>
        </is>
      </c>
    </row>
    <row r="48" ht="159.5" customHeight="1" s="24">
      <c r="A48" s="4" t="inlineStr">
        <is>
          <t>Note gap catalogue/marché</t>
        </is>
      </c>
      <c r="B48" s="9" t="n"/>
      <c r="C48" s="9" t="n"/>
      <c r="D48" s="9" t="n"/>
      <c r="E48" s="9" t="inlineStr">
        <is>
          <t>Blend recovery (concentrat whey + créatine Creapure 3g + collagène Peptan 5g + magnésium). Pas comparable 1-pour-1 aux whey pures — 60% protéines car le reste = additifs de récupération.</t>
        </is>
      </c>
      <c r="F48" s="9" t="inlineStr">
        <is>
          <t>Blend recovery (concentrat whey + créatine Creapure 3g + collagène Peptan 5g + magnésium). Pas comparable 1-pour-1 aux whey pures — 60% protéines car le reste = additifs de récupération.</t>
        </is>
      </c>
      <c r="G48" s="10" t="inlineStr">
        <is>
          <t>Prix marché = null (Nutripure vend uniquement sur site propre, pas de cross-retailers significatifs). Ancien 46€ sourcé via robshop.fr était un revendeur cher, pas un vrai marché médian.</t>
        </is>
      </c>
      <c r="H48" s="10" t="inlineStr">
        <is>
          <t>Confirmé via Playwright click sur variant radio Seau 2KG (id=332). Page nutripure.fr. Agent v2 avait mal lu '90€' (probablement le 'à partir de' affiché sur la page parent).</t>
        </is>
      </c>
      <c r="I48" s="10" t="inlineStr">
        <is>
          <t>Confirmé via Playwright click sur variant radio Seau 4KG (id=47). Prix réel 179,90€ (pas 159,90€ extrapolé).</t>
        </is>
      </c>
      <c r="J48" s="10" t="n"/>
      <c r="K48" s="10" t="inlineStr">
        <is>
          <t>v1 avait 39.95€ (+45% correction)</t>
        </is>
      </c>
      <c r="L48" s="10" t="n"/>
      <c r="M48" s="10" t="n"/>
      <c r="N48" s="10" t="n"/>
      <c r="O48" s="10" t="inlineStr">
        <is>
          <t>v1 avait 25.95€ (+46% correction)</t>
        </is>
      </c>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inlineStr">
        <is>
          <t>Catalogue fictif majeur: 69.99€ barré vs 44.99€ réel (-36%)</t>
        </is>
      </c>
      <c r="AJ48" s="10" t="inlineStr">
        <is>
          <t>Catalogue fictif fort: 159.99€ vs 99.99€ réel (-37%)</t>
        </is>
      </c>
      <c r="AK48" s="10" t="inlineStr">
        <is>
          <t>Catalogue partiellement fictif: barré 37.99€ vs current 27.99€ vs marché 23.99€</t>
        </is>
      </c>
      <c r="AL48" s="10" t="inlineStr">
        <is>
          <t>Catalogue fictif: 84.99€ barré vs 64.99€ réel (-23%)</t>
        </is>
      </c>
      <c r="AM48" s="10" t="inlineStr">
        <is>
          <t>Catalogue fictif: 159.99€ vs 129.99€ payé (-19%)</t>
        </is>
      </c>
      <c r="AN48" s="10" t="inlineStr">
        <is>
          <t>Catalogue 31.49€ barré vs 25.99€ payé (-17%). Marché 22.25€</t>
        </is>
      </c>
      <c r="AO48" s="10" t="inlineStr">
        <is>
          <t>Isolate EXCLU de la promo -30% MyProtein. Prix current = prix nominal (pas de discount automatique). Revert de l'ancienne estimation ×0.7.</t>
        </is>
      </c>
      <c r="AP48" s="10" t="inlineStr">
        <is>
          <t>Confirmé via variant Framboise 2.5kg (10530927) : 124.99€ affiché sans strikethrough. Isolate exclu de la promo -30%.</t>
        </is>
      </c>
      <c r="AQ48" s="10" t="inlineStr">
        <is>
          <t>Prix actuel = 17.99€ sur fr.myprotein.com/.../11068071/ (scraped Playwright 2026-04-14). Promo site -30% + extra app ramène à 17.99 vs 41.99 nominal (soit -57%). Pattern MyProtein Whey Protein uniquement.</t>
        </is>
      </c>
      <c r="AR48" s="10" t="inlineStr">
        <is>
          <t>Prix scrapé via variant Chocolate Nut 2.5kg (10530969) : 84.99€ barré / 40.99€ actuel. Promo -52%. Playwright 2026-04-14.</t>
        </is>
      </c>
      <c r="AS48" s="10" t="inlineStr">
        <is>
          <t>5kg n'existe qu'en 'Sans arôme' (chocolat inexistant). Current price = extrapolation du ratio 2.5kg (40.99/84.99=0.482) : 188.99 × 0.482 ≈ 91.10€.</t>
        </is>
      </c>
      <c r="AT48" s="10" t="inlineStr">
        <is>
          <t>Clear Whey exclu de la promo -30% (mention explicite). Format 875g max (pas de 1kg). Confirmé via scraping 12081395.</t>
        </is>
      </c>
      <c r="AU48" s="10" t="n"/>
      <c r="AV48" s="10" t="n"/>
      <c r="AW48" s="10" t="inlineStr">
        <is>
          <t>8.2€/100g vs 5.5€/100g sur format 1kg (petit format plus cher)</t>
        </is>
      </c>
      <c r="AX48" s="10" t="inlineStr">
        <is>
          <t>GROS ÉCART : site marque 54.90€ vs idealo 27.02€ (-51%). Cross-retailers beaucoup moins cher.</t>
        </is>
      </c>
      <c r="AY48" s="10" t="inlineStr">
        <is>
          <t>Cohérent avec 1kg : site marque surcoté vs cross-retailers (~-40-50%)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1"/>
  <sheetViews>
    <sheetView workbookViewId="0">
      <pane xSplit="1" ySplit="1" topLeftCell="Q35" activePane="bottomRight" state="frozen"/>
      <selection pane="topRight" activeCell="A1" sqref="A1"/>
      <selection pane="bottomLeft" activeCell="A1" sqref="A1"/>
      <selection pane="bottomRight" activeCell="A47" sqref="A47:XFD57"/>
    </sheetView>
  </sheetViews>
  <sheetFormatPr baseColWidth="10" defaultColWidth="8.7265625" defaultRowHeight="14.5"/>
  <cols>
    <col width="14" customWidth="1" style="24" min="1" max="1"/>
    <col width="30" customWidth="1" style="24" min="2" max="2"/>
    <col width="22" customWidth="1" style="24" min="3" max="3"/>
    <col width="13" customWidth="1" style="24" min="4" max="4"/>
    <col width="10" customWidth="1" style="24" min="5" max="5"/>
    <col width="12" customWidth="1" style="24" min="6" max="6"/>
    <col width="13" customWidth="1" style="24" min="7" max="10"/>
    <col width="14" customWidth="1" style="24" min="11" max="12"/>
    <col width="13" customWidth="1" style="24" min="13" max="13"/>
    <col width="16" customWidth="1" style="24" min="14" max="14"/>
    <col width="13" customWidth="1" style="24" min="15" max="15"/>
    <col width="8" customWidth="1" style="24" min="16" max="16"/>
    <col width="12" customWidth="1" style="24" min="17" max="18"/>
    <col width="14" customWidth="1" style="24" min="19" max="19"/>
    <col width="16" customWidth="1" style="24" min="20" max="20"/>
    <col width="14" customWidth="1" style="24" min="21" max="21"/>
    <col width="16" customWidth="1" style="24" min="22" max="22"/>
    <col width="50" customWidth="1" style="24" min="23" max="23"/>
    <col width="30" customWidth="1" style="24" min="24" max="24"/>
  </cols>
  <sheetData>
    <row r="1">
      <c r="A1" s="19" t="inlineStr">
        <is>
          <t>Marque</t>
        </is>
      </c>
      <c r="B1" s="19" t="inlineStr">
        <is>
          <t>Produit</t>
        </is>
      </c>
      <c r="C1" s="19" t="inlineStr">
        <is>
          <t>Type</t>
        </is>
      </c>
      <c r="D1" s="19" t="inlineStr">
        <is>
          <t>Natif/Fromagère</t>
        </is>
      </c>
      <c r="E1" s="19" t="inlineStr">
        <is>
          <t>Format (g)</t>
        </is>
      </c>
      <c r="F1" s="19" t="inlineStr">
        <is>
          <t>Nb portions</t>
        </is>
      </c>
      <c r="G1" s="19" t="inlineStr">
        <is>
          <t>Prot/portion (g)</t>
        </is>
      </c>
      <c r="H1" s="19" t="inlineStr">
        <is>
          <t>Prix nominal (€)</t>
        </is>
      </c>
      <c r="I1" s="19" t="inlineStr">
        <is>
          <t>Prix actuel (€)</t>
        </is>
      </c>
      <c r="J1" s="19" t="inlineStr">
        <is>
          <t>Prix marché (€)</t>
        </is>
      </c>
      <c r="K1" s="19" t="inlineStr">
        <is>
          <t>Gap nominal→actuel (%)</t>
        </is>
      </c>
      <c r="L1" s="19" t="inlineStr">
        <is>
          <t>Gap actuel→marché (%)</t>
        </is>
      </c>
      <c r="M1" s="19" t="inlineStr">
        <is>
          <t>Prix actuel /kg</t>
        </is>
      </c>
      <c r="N1" s="19" t="inlineStr">
        <is>
          <t>Prix actuel /g prot</t>
        </is>
      </c>
      <c r="O1" s="19" t="inlineStr">
        <is>
          <t>Prix abo (€)</t>
        </is>
      </c>
      <c r="P1" s="19" t="inlineStr">
        <is>
          <t>% abo</t>
        </is>
      </c>
      <c r="Q1" s="19" t="inlineStr">
        <is>
          <t>Remise client standard (%)</t>
        </is>
      </c>
      <c r="R1" s="19" t="inlineStr">
        <is>
          <t>Remise client averti (%)</t>
        </is>
      </c>
      <c r="S1" s="19" t="inlineStr">
        <is>
          <t>Prix client standard (€)</t>
        </is>
      </c>
      <c r="T1" s="19" t="inlineStr">
        <is>
          <t>Prix client standard /g prot</t>
        </is>
      </c>
      <c r="U1" s="19" t="inlineStr">
        <is>
          <t>Prix client averti (€)</t>
        </is>
      </c>
      <c r="V1" s="19" t="inlineStr">
        <is>
          <t>Prix client averti /g prot</t>
        </is>
      </c>
      <c r="W1" s="19" t="inlineStr">
        <is>
          <t>Source URL</t>
        </is>
      </c>
      <c r="X1" s="19" t="inlineStr">
        <is>
          <t>Gap note</t>
        </is>
      </c>
    </row>
    <row r="2">
      <c r="A2" s="20">
        <f>'Benchmark détaillé'!B1</f>
        <v/>
      </c>
      <c r="B2" s="20" t="inlineStr">
        <is>
          <t>Whey Isolate</t>
        </is>
      </c>
      <c r="C2" s="20">
        <f>'Benchmark détaillé'!B4</f>
        <v/>
      </c>
      <c r="D2" s="20">
        <f>'Benchmark détaillé'!B10</f>
        <v/>
      </c>
      <c r="E2" s="20">
        <f>'Benchmark détaillé'!B5</f>
        <v/>
      </c>
      <c r="F2" s="20">
        <f>'Benchmark détaillé'!B15</f>
        <v/>
      </c>
      <c r="G2" s="20">
        <f>'Benchmark détaillé'!B13</f>
        <v/>
      </c>
      <c r="H2" s="20">
        <f>'Benchmark détaillé'!B21</f>
        <v/>
      </c>
      <c r="I2" s="20">
        <f>'Benchmark détaillé'!B22</f>
        <v/>
      </c>
      <c r="J2" s="20">
        <f>'Benchmark détaillé'!B23</f>
        <v/>
      </c>
      <c r="K2" s="11">
        <f>IFERROR((H2-I2)/H2*100,"")</f>
        <v/>
      </c>
      <c r="L2" s="11">
        <f>IFERROR((I2-J2)/I2*100,"")</f>
        <v/>
      </c>
      <c r="M2" s="11">
        <f>IFERROR(I2/(E2/1000),"")</f>
        <v/>
      </c>
      <c r="N2" s="11">
        <f>IFERROR(I2/(F2*G2),"")</f>
        <v/>
      </c>
      <c r="O2" s="20">
        <f>'Benchmark détaillé'!B31</f>
        <v/>
      </c>
      <c r="P2" s="20">
        <f>'Benchmark détaillé'!B32</f>
        <v/>
      </c>
      <c r="Q2" s="11">
        <f>IFERROR(VLOOKUP(A2,'Discounts par marque'!$A:$G,4,FALSE),0)</f>
        <v/>
      </c>
      <c r="R2" s="11">
        <f>IFERROR(VLOOKUP(A2,'Discounts par marque'!$A:$G,5,FALSE),0)</f>
        <v/>
      </c>
      <c r="S2" s="11">
        <f>IFERROR(I2*(1-Q2/100),"")</f>
        <v/>
      </c>
      <c r="T2" s="11">
        <f>IFERROR(S2/(F2*G2),"")</f>
        <v/>
      </c>
      <c r="U2" s="11">
        <f>IFERROR(I2*(1-R2/100),"")</f>
        <v/>
      </c>
      <c r="V2" s="11">
        <f>IFERROR(U2/(F2*G2),"")</f>
        <v/>
      </c>
      <c r="W2" s="20" t="inlineStr">
        <is>
          <t>https://impulse-nutrition.fr/products/whey-isolate-saveur-chocolat</t>
        </is>
      </c>
      <c r="X2" s="20" t="n"/>
    </row>
    <row r="3">
      <c r="A3" s="20">
        <f>'Benchmark détaillé'!C1</f>
        <v/>
      </c>
      <c r="B3" s="20" t="inlineStr">
        <is>
          <t>Whey Isolate</t>
        </is>
      </c>
      <c r="C3" s="20">
        <f>'Benchmark détaillé'!C4</f>
        <v/>
      </c>
      <c r="D3" s="20">
        <f>'Benchmark détaillé'!C10</f>
        <v/>
      </c>
      <c r="E3" s="20">
        <f>'Benchmark détaillé'!C5</f>
        <v/>
      </c>
      <c r="F3" s="20">
        <f>'Benchmark détaillé'!C15</f>
        <v/>
      </c>
      <c r="G3" s="20">
        <f>'Benchmark détaillé'!C13</f>
        <v/>
      </c>
      <c r="H3" s="20">
        <f>'Benchmark détaillé'!C21</f>
        <v/>
      </c>
      <c r="I3" s="20">
        <f>'Benchmark détaillé'!C22</f>
        <v/>
      </c>
      <c r="J3" s="20">
        <f>'Benchmark détaillé'!C23</f>
        <v/>
      </c>
      <c r="K3" s="11">
        <f>IFERROR((H3-I3)/H3*100,"")</f>
        <v/>
      </c>
      <c r="L3" s="11">
        <f>IFERROR((I3-J3)/I3*100,"")</f>
        <v/>
      </c>
      <c r="M3" s="11">
        <f>IFERROR(I3/(E3/1000),"")</f>
        <v/>
      </c>
      <c r="N3" s="11">
        <f>IFERROR(I3/(F3*G3),"")</f>
        <v/>
      </c>
      <c r="O3" s="20">
        <f>'Benchmark détaillé'!C31</f>
        <v/>
      </c>
      <c r="P3" s="20">
        <f>'Benchmark détaillé'!C32</f>
        <v/>
      </c>
      <c r="Q3" s="11">
        <f>IFERROR(VLOOKUP(A3,'Discounts par marque'!$A:$G,4,FALSE),0)</f>
        <v/>
      </c>
      <c r="R3" s="11">
        <f>IFERROR(VLOOKUP(A3,'Discounts par marque'!$A:$G,5,FALSE),0)</f>
        <v/>
      </c>
      <c r="S3" s="11">
        <f>IFERROR(I3*(1-Q3/100),"")</f>
        <v/>
      </c>
      <c r="T3" s="11">
        <f>IFERROR(S3/(F3*G3),"")</f>
        <v/>
      </c>
      <c r="U3" s="11">
        <f>IFERROR(I3*(1-R3/100),"")</f>
        <v/>
      </c>
      <c r="V3" s="11">
        <f>IFERROR(U3/(F3*G3),"")</f>
        <v/>
      </c>
      <c r="W3" s="20" t="inlineStr">
        <is>
          <t>https://impulse-nutrition.fr/products/whey-isolate-saveur-vanille</t>
        </is>
      </c>
      <c r="X3" s="20" t="n"/>
    </row>
    <row r="4">
      <c r="A4" s="20">
        <f>'Benchmark détaillé'!D1</f>
        <v/>
      </c>
      <c r="B4" s="20" t="inlineStr">
        <is>
          <t>Whey Isolate</t>
        </is>
      </c>
      <c r="C4" s="20">
        <f>'Benchmark détaillé'!D4</f>
        <v/>
      </c>
      <c r="D4" s="20">
        <f>'Benchmark détaillé'!D10</f>
        <v/>
      </c>
      <c r="E4" s="20">
        <f>'Benchmark détaillé'!D5</f>
        <v/>
      </c>
      <c r="F4" s="20">
        <f>'Benchmark détaillé'!D15</f>
        <v/>
      </c>
      <c r="G4" s="20">
        <f>'Benchmark détaillé'!D13</f>
        <v/>
      </c>
      <c r="H4" s="20">
        <f>'Benchmark détaillé'!D21</f>
        <v/>
      </c>
      <c r="I4" s="20">
        <f>'Benchmark détaillé'!D22</f>
        <v/>
      </c>
      <c r="J4" s="20">
        <f>'Benchmark détaillé'!D23</f>
        <v/>
      </c>
      <c r="K4" s="11">
        <f>IFERROR((H4-I4)/H4*100,"")</f>
        <v/>
      </c>
      <c r="L4" s="11">
        <f>IFERROR((I4-J4)/I4*100,"")</f>
        <v/>
      </c>
      <c r="M4" s="11">
        <f>IFERROR(I4/(E4/1000),"")</f>
        <v/>
      </c>
      <c r="N4" s="11">
        <f>IFERROR(I4/(F4*G4),"")</f>
        <v/>
      </c>
      <c r="O4" s="20">
        <f>'Benchmark détaillé'!D31</f>
        <v/>
      </c>
      <c r="P4" s="20">
        <f>'Benchmark détaillé'!D32</f>
        <v/>
      </c>
      <c r="Q4" s="11">
        <f>IFERROR(VLOOKUP(A4,'Discounts par marque'!$A:$G,4,FALSE),0)</f>
        <v/>
      </c>
      <c r="R4" s="11">
        <f>IFERROR(VLOOKUP(A4,'Discounts par marque'!$A:$G,5,FALSE),0)</f>
        <v/>
      </c>
      <c r="S4" s="11">
        <f>IFERROR(I4*(1-Q4/100),"")</f>
        <v/>
      </c>
      <c r="T4" s="11">
        <f>IFERROR(S4/(F4*G4),"")</f>
        <v/>
      </c>
      <c r="U4" s="11">
        <f>IFERROR(I4*(1-R4/100),"")</f>
        <v/>
      </c>
      <c r="V4" s="11">
        <f>IFERROR(U4/(F4*G4),"")</f>
        <v/>
      </c>
      <c r="W4" s="20" t="inlineStr">
        <is>
          <t>https://impulse-nutrition.fr/products/whey-isolate-nature</t>
        </is>
      </c>
      <c r="X4" s="20" t="n"/>
    </row>
    <row r="5">
      <c r="A5" s="20">
        <f>'Benchmark détaillé'!E1</f>
        <v/>
      </c>
      <c r="B5" s="20" t="inlineStr">
        <is>
          <t>Whey Recovery</t>
        </is>
      </c>
      <c r="C5" s="20">
        <f>'Benchmark détaillé'!E4</f>
        <v/>
      </c>
      <c r="D5" s="20">
        <f>'Benchmark détaillé'!E10</f>
        <v/>
      </c>
      <c r="E5" s="20">
        <f>'Benchmark détaillé'!E5</f>
        <v/>
      </c>
      <c r="F5" s="20">
        <f>'Benchmark détaillé'!E15</f>
        <v/>
      </c>
      <c r="G5" s="20">
        <f>'Benchmark détaillé'!E13</f>
        <v/>
      </c>
      <c r="H5" s="20">
        <f>'Benchmark détaillé'!E21</f>
        <v/>
      </c>
      <c r="I5" s="20">
        <f>'Benchmark détaillé'!E22</f>
        <v/>
      </c>
      <c r="J5" s="20">
        <f>'Benchmark détaillé'!E23</f>
        <v/>
      </c>
      <c r="K5" s="11">
        <f>IFERROR((H5-I5)/H5*100,"")</f>
        <v/>
      </c>
      <c r="L5" s="11">
        <f>IFERROR((I5-J5)/I5*100,"")</f>
        <v/>
      </c>
      <c r="M5" s="11">
        <f>IFERROR(I5/(E5/1000),"")</f>
        <v/>
      </c>
      <c r="N5" s="11">
        <f>IFERROR(I5/(F5*G5),"")</f>
        <v/>
      </c>
      <c r="O5" s="20">
        <f>'Benchmark détaillé'!E31</f>
        <v/>
      </c>
      <c r="P5" s="20">
        <f>'Benchmark détaillé'!E32</f>
        <v/>
      </c>
      <c r="Q5" s="11">
        <f>IFERROR(VLOOKUP(A5,'Discounts par marque'!$A:$G,4,FALSE),0)</f>
        <v/>
      </c>
      <c r="R5" s="11">
        <f>IFERROR(VLOOKUP(A5,'Discounts par marque'!$A:$G,5,FALSE),0)</f>
        <v/>
      </c>
      <c r="S5" s="11">
        <f>IFERROR(I5*(1-Q5/100),"")</f>
        <v/>
      </c>
      <c r="T5" s="11">
        <f>IFERROR(S5/(F5*G5),"")</f>
        <v/>
      </c>
      <c r="U5" s="11">
        <f>IFERROR(I5*(1-R5/100),"")</f>
        <v/>
      </c>
      <c r="V5" s="11">
        <f>IFERROR(U5/(F5*G5),"")</f>
        <v/>
      </c>
      <c r="W5" s="20" t="inlineStr">
        <is>
          <t>https://impulse-nutrition.fr/products/whey-recovery-saveur-chocolat</t>
        </is>
      </c>
      <c r="X5" s="20" t="inlineStr">
        <is>
          <t>Blend recovery (concentrat whey + créatine Creapure 3g + collagène Peptan 5g + magnésium). Pas comparable 1-pour-1 aux whey pures — 60% protéines car le reste = additifs de récupération.</t>
        </is>
      </c>
    </row>
    <row r="6">
      <c r="A6" s="20">
        <f>'Benchmark détaillé'!F1</f>
        <v/>
      </c>
      <c r="B6" s="20" t="inlineStr">
        <is>
          <t>Whey Recovery</t>
        </is>
      </c>
      <c r="C6" s="20">
        <f>'Benchmark détaillé'!F4</f>
        <v/>
      </c>
      <c r="D6" s="20">
        <f>'Benchmark détaillé'!F10</f>
        <v/>
      </c>
      <c r="E6" s="20">
        <f>'Benchmark détaillé'!F5</f>
        <v/>
      </c>
      <c r="F6" s="20">
        <f>'Benchmark détaillé'!F15</f>
        <v/>
      </c>
      <c r="G6" s="20">
        <f>'Benchmark détaillé'!F13</f>
        <v/>
      </c>
      <c r="H6" s="20">
        <f>'Benchmark détaillé'!F21</f>
        <v/>
      </c>
      <c r="I6" s="20">
        <f>'Benchmark détaillé'!F22</f>
        <v/>
      </c>
      <c r="J6" s="20">
        <f>'Benchmark détaillé'!F23</f>
        <v/>
      </c>
      <c r="K6" s="11">
        <f>IFERROR((H6-I6)/H6*100,"")</f>
        <v/>
      </c>
      <c r="L6" s="11">
        <f>IFERROR((I6-J6)/I6*100,"")</f>
        <v/>
      </c>
      <c r="M6" s="11">
        <f>IFERROR(I6/(E6/1000),"")</f>
        <v/>
      </c>
      <c r="N6" s="11">
        <f>IFERROR(I6/(F6*G6),"")</f>
        <v/>
      </c>
      <c r="O6" s="20">
        <f>'Benchmark détaillé'!F31</f>
        <v/>
      </c>
      <c r="P6" s="20">
        <f>'Benchmark détaillé'!F32</f>
        <v/>
      </c>
      <c r="Q6" s="11">
        <f>IFERROR(VLOOKUP(A6,'Discounts par marque'!$A:$G,4,FALSE),0)</f>
        <v/>
      </c>
      <c r="R6" s="11">
        <f>IFERROR(VLOOKUP(A6,'Discounts par marque'!$A:$G,5,FALSE),0)</f>
        <v/>
      </c>
      <c r="S6" s="11">
        <f>IFERROR(I6*(1-Q6/100),"")</f>
        <v/>
      </c>
      <c r="T6" s="11">
        <f>IFERROR(S6/(F6*G6),"")</f>
        <v/>
      </c>
      <c r="U6" s="11">
        <f>IFERROR(I6*(1-R6/100),"")</f>
        <v/>
      </c>
      <c r="V6" s="11">
        <f>IFERROR(U6/(F6*G6),"")</f>
        <v/>
      </c>
      <c r="W6" s="20" t="inlineStr">
        <is>
          <t>https://impulse-nutrition.fr/products/whey-recovery-saveur-vanille</t>
        </is>
      </c>
      <c r="X6" s="20" t="inlineStr">
        <is>
          <t>Blend recovery (concentrat whey + créatine Creapure 3g + collagène Peptan 5g + magnésium). Pas comparable 1-pour-1 aux whey pures — 60% protéines car le reste = additifs de récupération.</t>
        </is>
      </c>
    </row>
    <row r="7">
      <c r="A7">
        <f>'Benchmark détaillé'!G1</f>
        <v/>
      </c>
      <c r="B7" t="inlineStr">
        <is>
          <t>Whey Isolat Native 750g</t>
        </is>
      </c>
      <c r="C7">
        <f>'Benchmark détaillé'!G4</f>
        <v/>
      </c>
      <c r="D7">
        <f>'Benchmark détaillé'!G10</f>
        <v/>
      </c>
      <c r="E7">
        <f>'Benchmark détaillé'!G5</f>
        <v/>
      </c>
      <c r="F7">
        <f>'Benchmark détaillé'!G15</f>
        <v/>
      </c>
      <c r="G7">
        <f>'Benchmark détaillé'!G13</f>
        <v/>
      </c>
      <c r="H7">
        <f>'Benchmark détaillé'!G21</f>
        <v/>
      </c>
      <c r="I7">
        <f>'Benchmark détaillé'!G22</f>
        <v/>
      </c>
      <c r="J7">
        <f>'Benchmark détaillé'!G23</f>
        <v/>
      </c>
      <c r="K7" s="12">
        <f>IFERROR((H7-I7)/H7*100,"")</f>
        <v/>
      </c>
      <c r="L7" s="12">
        <f>IFERROR((I7-J7)/I7*100,"")</f>
        <v/>
      </c>
      <c r="M7" s="12">
        <f>IFERROR(I7/(E7/1000),"")</f>
        <v/>
      </c>
      <c r="N7" s="12">
        <f>IFERROR(I7/(F7*G7),"")</f>
        <v/>
      </c>
      <c r="O7">
        <f>'Benchmark détaillé'!G31</f>
        <v/>
      </c>
      <c r="P7">
        <f>'Benchmark détaillé'!G32</f>
        <v/>
      </c>
      <c r="Q7" s="12">
        <f>IFERROR(VLOOKUP(A7,'Discounts par marque'!$A:$G,4,FALSE),0)</f>
        <v/>
      </c>
      <c r="R7" s="12">
        <f>IFERROR(VLOOKUP(A7,'Discounts par marque'!$A:$G,5,FALSE),0)</f>
        <v/>
      </c>
      <c r="S7" s="12">
        <f>IFERROR(I7*(1-Q7/100),"")</f>
        <v/>
      </c>
      <c r="T7" s="12">
        <f>IFERROR(S7/(F7*G7),"")</f>
        <v/>
      </c>
      <c r="U7" s="12">
        <f>IFERROR(I7*(1-R7/100),"")</f>
        <v/>
      </c>
      <c r="V7" s="12">
        <f>IFERROR(U7/(F7*G7),"")</f>
        <v/>
      </c>
      <c r="W7" t="inlineStr">
        <is>
          <t>https://www.nutripure.fr/produits/whey-isolat-native-chocolat</t>
        </is>
      </c>
      <c r="X7" t="inlineStr">
        <is>
          <t>Prix marché = null (Nutripure vend uniquement sur site propre, pas de cross-retailers significatifs). Ancien 46€ sourcé via robshop.fr était un revendeur cher, pas un vrai marché médian.</t>
        </is>
      </c>
    </row>
    <row r="8">
      <c r="A8">
        <f>'Benchmark détaillé'!H1</f>
        <v/>
      </c>
      <c r="B8" t="inlineStr">
        <is>
          <t>Whey Isolat Native 2kg</t>
        </is>
      </c>
      <c r="C8">
        <f>'Benchmark détaillé'!H4</f>
        <v/>
      </c>
      <c r="D8">
        <f>'Benchmark détaillé'!H10</f>
        <v/>
      </c>
      <c r="E8">
        <f>'Benchmark détaillé'!H5</f>
        <v/>
      </c>
      <c r="F8">
        <f>'Benchmark détaillé'!H15</f>
        <v/>
      </c>
      <c r="G8">
        <f>'Benchmark détaillé'!H13</f>
        <v/>
      </c>
      <c r="H8">
        <f>'Benchmark détaillé'!H21</f>
        <v/>
      </c>
      <c r="I8">
        <f>'Benchmark détaillé'!H22</f>
        <v/>
      </c>
      <c r="J8">
        <f>'Benchmark détaillé'!H23</f>
        <v/>
      </c>
      <c r="K8" s="12">
        <f>IFERROR((H8-I8)/H8*100,"")</f>
        <v/>
      </c>
      <c r="L8" s="12">
        <f>IFERROR((I8-J8)/I8*100,"")</f>
        <v/>
      </c>
      <c r="M8" s="12">
        <f>IFERROR(I8/(E8/1000),"")</f>
        <v/>
      </c>
      <c r="N8" s="12">
        <f>IFERROR(I8/(F8*G8),"")</f>
        <v/>
      </c>
      <c r="O8">
        <f>'Benchmark détaillé'!H31</f>
        <v/>
      </c>
      <c r="P8">
        <f>'Benchmark détaillé'!H32</f>
        <v/>
      </c>
      <c r="Q8" s="12">
        <f>IFERROR(VLOOKUP(A8,'Discounts par marque'!$A:$G,4,FALSE),0)</f>
        <v/>
      </c>
      <c r="R8" s="12">
        <f>IFERROR(VLOOKUP(A8,'Discounts par marque'!$A:$G,5,FALSE),0)</f>
        <v/>
      </c>
      <c r="S8" s="12">
        <f>IFERROR(I8*(1-Q8/100),"")</f>
        <v/>
      </c>
      <c r="T8" s="12">
        <f>IFERROR(S8/(F8*G8),"")</f>
        <v/>
      </c>
      <c r="U8" s="12">
        <f>IFERROR(I8*(1-R8/100),"")</f>
        <v/>
      </c>
      <c r="V8" s="12">
        <f>IFERROR(U8/(F8*G8),"")</f>
        <v/>
      </c>
      <c r="W8" s="22" t="inlineStr">
        <is>
          <t>https://www.nutripure.fr/fr/musculation/147-1115-whey-chocolat-isolate.html#/332-poids_poudre-seau_2kg</t>
        </is>
      </c>
      <c r="X8" t="inlineStr">
        <is>
          <t>Confirmé via Playwright click sur variant radio Seau 2KG (id=332). Page nutripure.fr. Agent v2 avait mal lu '90€' (probablement le 'à partir de' affiché sur la page parent).</t>
        </is>
      </c>
    </row>
    <row r="9">
      <c r="A9">
        <f>'Benchmark détaillé'!I1</f>
        <v/>
      </c>
      <c r="B9" t="inlineStr">
        <is>
          <t>Whey Isolat Native 4kg</t>
        </is>
      </c>
      <c r="C9">
        <f>'Benchmark détaillé'!I4</f>
        <v/>
      </c>
      <c r="D9">
        <f>'Benchmark détaillé'!I10</f>
        <v/>
      </c>
      <c r="E9">
        <f>'Benchmark détaillé'!I5</f>
        <v/>
      </c>
      <c r="F9">
        <f>'Benchmark détaillé'!I15</f>
        <v/>
      </c>
      <c r="G9">
        <f>'Benchmark détaillé'!I13</f>
        <v/>
      </c>
      <c r="H9">
        <f>'Benchmark détaillé'!I21</f>
        <v/>
      </c>
      <c r="I9">
        <f>'Benchmark détaillé'!I22</f>
        <v/>
      </c>
      <c r="J9">
        <f>'Benchmark détaillé'!I23</f>
        <v/>
      </c>
      <c r="K9" s="12">
        <f>IFERROR((H9-I9)/H9*100,"")</f>
        <v/>
      </c>
      <c r="L9" s="12">
        <f>IFERROR((I9-J9)/I9*100,"")</f>
        <v/>
      </c>
      <c r="M9" s="12">
        <f>IFERROR(I9/(E9/1000),"")</f>
        <v/>
      </c>
      <c r="N9" s="12">
        <f>IFERROR(I9/(F9*G9),"")</f>
        <v/>
      </c>
      <c r="O9">
        <f>'Benchmark détaillé'!I31</f>
        <v/>
      </c>
      <c r="P9">
        <f>'Benchmark détaillé'!I32</f>
        <v/>
      </c>
      <c r="Q9" s="12">
        <f>IFERROR(VLOOKUP(A9,'Discounts par marque'!$A:$G,4,FALSE),0)</f>
        <v/>
      </c>
      <c r="R9" s="12">
        <f>IFERROR(VLOOKUP(A9,'Discounts par marque'!$A:$G,5,FALSE),0)</f>
        <v/>
      </c>
      <c r="S9" s="12">
        <f>IFERROR(I9*(1-Q9/100),"")</f>
        <v/>
      </c>
      <c r="T9" s="12">
        <f>IFERROR(S9/(F9*G9),"")</f>
        <v/>
      </c>
      <c r="U9" s="12">
        <f>IFERROR(I9*(1-R9/100),"")</f>
        <v/>
      </c>
      <c r="V9" s="12">
        <f>IFERROR(U9/(F9*G9),"")</f>
        <v/>
      </c>
      <c r="W9" t="inlineStr">
        <is>
          <t>https://www.nutripure.fr/fr/musculation/147-674-whey-chocolat-isolate.html#/47-poids_poudre-seau_4kg</t>
        </is>
      </c>
      <c r="X9" t="inlineStr">
        <is>
          <t>Confirmé via Playwright click sur variant radio Seau 4KG (id=47). Prix réel 179,90€ (pas 159,90€ extrapolé).</t>
        </is>
      </c>
    </row>
    <row r="10">
      <c r="A10">
        <f>'Benchmark détaillé'!J1</f>
        <v/>
      </c>
      <c r="B10" t="inlineStr">
        <is>
          <t>Whey Native Isolate 500g</t>
        </is>
      </c>
      <c r="C10">
        <f>'Benchmark détaillé'!J4</f>
        <v/>
      </c>
      <c r="D10">
        <f>'Benchmark détaillé'!J10</f>
        <v/>
      </c>
      <c r="E10">
        <f>'Benchmark détaillé'!J5</f>
        <v/>
      </c>
      <c r="F10">
        <f>'Benchmark détaillé'!J15</f>
        <v/>
      </c>
      <c r="G10">
        <f>'Benchmark détaillé'!J13</f>
        <v/>
      </c>
      <c r="H10">
        <f>'Benchmark détaillé'!J21</f>
        <v/>
      </c>
      <c r="I10">
        <f>'Benchmark détaillé'!J22</f>
        <v/>
      </c>
      <c r="J10">
        <f>'Benchmark détaillé'!J23</f>
        <v/>
      </c>
      <c r="K10" s="12">
        <f>IFERROR((H10-I10)/H10*100,"")</f>
        <v/>
      </c>
      <c r="L10" s="12">
        <f>IFERROR((I10-J10)/I10*100,"")</f>
        <v/>
      </c>
      <c r="M10" s="12">
        <f>IFERROR(I10/(E10/1000),"")</f>
        <v/>
      </c>
      <c r="N10" s="12">
        <f>IFERROR(I10/(F10*G10),"")</f>
        <v/>
      </c>
      <c r="O10">
        <f>'Benchmark détaillé'!J31</f>
        <v/>
      </c>
      <c r="P10">
        <f>'Benchmark détaillé'!J32</f>
        <v/>
      </c>
      <c r="Q10" s="12">
        <f>IFERROR(VLOOKUP(A10,'Discounts par marque'!$A:$G,4,FALSE),0)</f>
        <v/>
      </c>
      <c r="R10" s="12">
        <f>IFERROR(VLOOKUP(A10,'Discounts par marque'!$A:$G,5,FALSE),0)</f>
        <v/>
      </c>
      <c r="S10" s="12">
        <f>IFERROR(I10*(1-Q10/100),"")</f>
        <v/>
      </c>
      <c r="T10" s="12">
        <f>IFERROR(S10/(F10*G10),"")</f>
        <v/>
      </c>
      <c r="U10" s="12">
        <f>IFERROR(I10*(1-R10/100),"")</f>
        <v/>
      </c>
      <c r="V10" s="12">
        <f>IFERROR(U10/(F10*G10),"")</f>
        <v/>
      </c>
      <c r="W10" s="22" t="inlineStr">
        <is>
          <t>https://www.nutrimuscle.com/products/whey-native-isolate</t>
        </is>
      </c>
    </row>
    <row r="11">
      <c r="A11">
        <f>'Benchmark détaillé'!K1</f>
        <v/>
      </c>
      <c r="B11" t="inlineStr">
        <is>
          <t>Whey Native Isolate</t>
        </is>
      </c>
      <c r="C11">
        <f>'Benchmark détaillé'!K4</f>
        <v/>
      </c>
      <c r="D11">
        <f>'Benchmark détaillé'!K10</f>
        <v/>
      </c>
      <c r="E11">
        <f>'Benchmark détaillé'!K5</f>
        <v/>
      </c>
      <c r="F11">
        <f>'Benchmark détaillé'!K15</f>
        <v/>
      </c>
      <c r="G11">
        <f>'Benchmark détaillé'!K13</f>
        <v/>
      </c>
      <c r="H11">
        <f>'Benchmark détaillé'!K21</f>
        <v/>
      </c>
      <c r="I11">
        <f>'Benchmark détaillé'!K22</f>
        <v/>
      </c>
      <c r="J11">
        <f>'Benchmark détaillé'!K23</f>
        <v/>
      </c>
      <c r="K11" s="12">
        <f>IFERROR((H11-I11)/H11*100,"")</f>
        <v/>
      </c>
      <c r="L11" s="12">
        <f>IFERROR((I11-J11)/I11*100,"")</f>
        <v/>
      </c>
      <c r="M11" s="12">
        <f>IFERROR(I11/(E11/1000),"")</f>
        <v/>
      </c>
      <c r="N11" s="12">
        <f>IFERROR(I11/(F11*G11),"")</f>
        <v/>
      </c>
      <c r="O11">
        <f>'Benchmark détaillé'!K31</f>
        <v/>
      </c>
      <c r="P11">
        <f>'Benchmark détaillé'!K32</f>
        <v/>
      </c>
      <c r="Q11" s="12">
        <f>IFERROR(VLOOKUP(A11,'Discounts par marque'!$A:$G,4,FALSE),0)</f>
        <v/>
      </c>
      <c r="R11" s="12">
        <f>IFERROR(VLOOKUP(A11,'Discounts par marque'!$A:$G,5,FALSE),0)</f>
        <v/>
      </c>
      <c r="S11" s="12">
        <f>IFERROR(I11*(1-Q11/100),"")</f>
        <v/>
      </c>
      <c r="T11" s="12">
        <f>IFERROR(S11/(F11*G11),"")</f>
        <v/>
      </c>
      <c r="U11" s="12">
        <f>IFERROR(I11*(1-R11/100),"")</f>
        <v/>
      </c>
      <c r="V11" s="12">
        <f>IFERROR(U11/(F11*G11),"")</f>
        <v/>
      </c>
      <c r="W11" t="inlineStr">
        <is>
          <t>https://www.nutrimuscle.com/products/whey-isolat-native</t>
        </is>
      </c>
      <c r="X11" t="inlineStr">
        <is>
          <t>v1 avait 39.95€ (+45% correction)</t>
        </is>
      </c>
    </row>
    <row r="12">
      <c r="A12">
        <f>'Benchmark détaillé'!L1</f>
        <v/>
      </c>
      <c r="B12" t="inlineStr">
        <is>
          <t>Whey Native Isolate 2,25kg</t>
        </is>
      </c>
      <c r="C12">
        <f>'Benchmark détaillé'!L4</f>
        <v/>
      </c>
      <c r="D12">
        <f>'Benchmark détaillé'!L10</f>
        <v/>
      </c>
      <c r="E12">
        <f>'Benchmark détaillé'!L5</f>
        <v/>
      </c>
      <c r="F12">
        <f>'Benchmark détaillé'!L15</f>
        <v/>
      </c>
      <c r="G12">
        <f>'Benchmark détaillé'!L13</f>
        <v/>
      </c>
      <c r="H12">
        <f>'Benchmark détaillé'!L21</f>
        <v/>
      </c>
      <c r="I12">
        <f>'Benchmark détaillé'!L22</f>
        <v/>
      </c>
      <c r="J12">
        <f>'Benchmark détaillé'!L23</f>
        <v/>
      </c>
      <c r="K12" s="12">
        <f>IFERROR((H12-I12)/H12*100,"")</f>
        <v/>
      </c>
      <c r="L12" s="12">
        <f>IFERROR((I12-J12)/I12*100,"")</f>
        <v/>
      </c>
      <c r="M12" s="12">
        <f>IFERROR(I12/(E12/1000),"")</f>
        <v/>
      </c>
      <c r="N12" s="12">
        <f>IFERROR(I12/(F12*G12),"")</f>
        <v/>
      </c>
      <c r="O12">
        <f>'Benchmark détaillé'!L31</f>
        <v/>
      </c>
      <c r="P12">
        <f>'Benchmark détaillé'!L32</f>
        <v/>
      </c>
      <c r="Q12" s="12">
        <f>IFERROR(VLOOKUP(A12,'Discounts par marque'!$A:$G,4,FALSE),0)</f>
        <v/>
      </c>
      <c r="R12" s="12">
        <f>IFERROR(VLOOKUP(A12,'Discounts par marque'!$A:$G,5,FALSE),0)</f>
        <v/>
      </c>
      <c r="S12" s="12">
        <f>IFERROR(I12*(1-Q12/100),"")</f>
        <v/>
      </c>
      <c r="T12" s="12">
        <f>IFERROR(S12/(F12*G12),"")</f>
        <v/>
      </c>
      <c r="U12" s="12">
        <f>IFERROR(I12*(1-R12/100),"")</f>
        <v/>
      </c>
      <c r="V12" s="12">
        <f>IFERROR(U12/(F12*G12),"")</f>
        <v/>
      </c>
      <c r="W12" t="inlineStr">
        <is>
          <t>https://www.nutrimuscle.com/products/whey-native-isolate</t>
        </is>
      </c>
    </row>
    <row r="13">
      <c r="A13">
        <f>'Benchmark détaillé'!M1</f>
        <v/>
      </c>
      <c r="B13" t="inlineStr">
        <is>
          <t>Whey Native Isolate 4kg</t>
        </is>
      </c>
      <c r="C13">
        <f>'Benchmark détaillé'!M4</f>
        <v/>
      </c>
      <c r="D13">
        <f>'Benchmark détaillé'!M10</f>
        <v/>
      </c>
      <c r="E13">
        <f>'Benchmark détaillé'!M5</f>
        <v/>
      </c>
      <c r="F13">
        <f>'Benchmark détaillé'!M15</f>
        <v/>
      </c>
      <c r="G13">
        <f>'Benchmark détaillé'!M13</f>
        <v/>
      </c>
      <c r="H13">
        <f>'Benchmark détaillé'!M21</f>
        <v/>
      </c>
      <c r="I13">
        <f>'Benchmark détaillé'!M22</f>
        <v/>
      </c>
      <c r="J13">
        <f>'Benchmark détaillé'!M23</f>
        <v/>
      </c>
      <c r="K13" s="12">
        <f>IFERROR((H13-I13)/H13*100,"")</f>
        <v/>
      </c>
      <c r="L13" s="12">
        <f>IFERROR((I13-J13)/I13*100,"")</f>
        <v/>
      </c>
      <c r="M13" s="12">
        <f>IFERROR(I13/(E13/1000),"")</f>
        <v/>
      </c>
      <c r="N13" s="12">
        <f>IFERROR(I13/(F13*G13),"")</f>
        <v/>
      </c>
      <c r="O13">
        <f>'Benchmark détaillé'!M31</f>
        <v/>
      </c>
      <c r="P13">
        <f>'Benchmark détaillé'!M32</f>
        <v/>
      </c>
      <c r="Q13" s="12">
        <f>IFERROR(VLOOKUP(A13,'Discounts par marque'!$A:$G,4,FALSE),0)</f>
        <v/>
      </c>
      <c r="R13" s="12">
        <f>IFERROR(VLOOKUP(A13,'Discounts par marque'!$A:$G,5,FALSE),0)</f>
        <v/>
      </c>
      <c r="S13" s="12">
        <f>IFERROR(I13*(1-Q13/100),"")</f>
        <v/>
      </c>
      <c r="T13" s="12">
        <f>IFERROR(S13/(F13*G13),"")</f>
        <v/>
      </c>
      <c r="U13" s="12">
        <f>IFERROR(I13*(1-R13/100),"")</f>
        <v/>
      </c>
      <c r="V13" s="12">
        <f>IFERROR(U13/(F13*G13),"")</f>
        <v/>
      </c>
      <c r="W13" t="inlineStr">
        <is>
          <t>https://www.nutrimuscle.com/products/whey-native-isolate</t>
        </is>
      </c>
    </row>
    <row r="14">
      <c r="A14">
        <f>'Benchmark détaillé'!N1</f>
        <v/>
      </c>
      <c r="B14" t="inlineStr">
        <is>
          <t>Whey Native Concentrat 500g</t>
        </is>
      </c>
      <c r="C14">
        <f>'Benchmark détaillé'!N4</f>
        <v/>
      </c>
      <c r="D14">
        <f>'Benchmark détaillé'!N10</f>
        <v/>
      </c>
      <c r="E14">
        <f>'Benchmark détaillé'!N5</f>
        <v/>
      </c>
      <c r="F14">
        <f>'Benchmark détaillé'!N15</f>
        <v/>
      </c>
      <c r="G14">
        <f>'Benchmark détaillé'!N13</f>
        <v/>
      </c>
      <c r="H14">
        <f>'Benchmark détaillé'!N21</f>
        <v/>
      </c>
      <c r="I14">
        <f>'Benchmark détaillé'!N22</f>
        <v/>
      </c>
      <c r="J14">
        <f>'Benchmark détaillé'!N23</f>
        <v/>
      </c>
      <c r="K14" s="12">
        <f>IFERROR((H14-I14)/H14*100,"")</f>
        <v/>
      </c>
      <c r="L14" s="12">
        <f>IFERROR((I14-J14)/I14*100,"")</f>
        <v/>
      </c>
      <c r="M14" s="12">
        <f>IFERROR(I14/(E14/1000),"")</f>
        <v/>
      </c>
      <c r="N14" s="12">
        <f>IFERROR(I14/(F14*G14),"")</f>
        <v/>
      </c>
      <c r="O14">
        <f>'Benchmark détaillé'!N31</f>
        <v/>
      </c>
      <c r="P14">
        <f>'Benchmark détaillé'!N32</f>
        <v/>
      </c>
      <c r="Q14" s="12">
        <f>IFERROR(VLOOKUP(A14,'Discounts par marque'!$A:$G,4,FALSE),0)</f>
        <v/>
      </c>
      <c r="R14" s="12">
        <f>IFERROR(VLOOKUP(A14,'Discounts par marque'!$A:$G,5,FALSE),0)</f>
        <v/>
      </c>
      <c r="S14" s="12">
        <f>IFERROR(I14*(1-Q14/100),"")</f>
        <v/>
      </c>
      <c r="T14" s="12">
        <f>IFERROR(S14/(F14*G14),"")</f>
        <v/>
      </c>
      <c r="U14" s="12">
        <f>IFERROR(I14*(1-R14/100),"")</f>
        <v/>
      </c>
      <c r="V14" s="12">
        <f>IFERROR(U14/(F14*G14),"")</f>
        <v/>
      </c>
      <c r="W14" t="inlineStr">
        <is>
          <t>https://www.nutrimuscle.com/products/whey-native</t>
        </is>
      </c>
    </row>
    <row r="15">
      <c r="A15">
        <f>'Benchmark détaillé'!O1</f>
        <v/>
      </c>
      <c r="B15" t="inlineStr">
        <is>
          <t>Whey Native Concentrat</t>
        </is>
      </c>
      <c r="C15">
        <f>'Benchmark détaillé'!O4</f>
        <v/>
      </c>
      <c r="D15">
        <f>'Benchmark détaillé'!O10</f>
        <v/>
      </c>
      <c r="E15">
        <f>'Benchmark détaillé'!O5</f>
        <v/>
      </c>
      <c r="F15">
        <f>'Benchmark détaillé'!O15</f>
        <v/>
      </c>
      <c r="G15">
        <f>'Benchmark détaillé'!O13</f>
        <v/>
      </c>
      <c r="H15">
        <f>'Benchmark détaillé'!O21</f>
        <v/>
      </c>
      <c r="I15">
        <f>'Benchmark détaillé'!O22</f>
        <v/>
      </c>
      <c r="J15">
        <f>'Benchmark détaillé'!O23</f>
        <v/>
      </c>
      <c r="K15" s="12">
        <f>IFERROR((H15-I15)/H15*100,"")</f>
        <v/>
      </c>
      <c r="L15" s="12">
        <f>IFERROR((I15-J15)/I15*100,"")</f>
        <v/>
      </c>
      <c r="M15" s="12">
        <f>IFERROR(I15/(E15/1000),"")</f>
        <v/>
      </c>
      <c r="N15" s="12">
        <f>IFERROR(I15/(F15*G15),"")</f>
        <v/>
      </c>
      <c r="O15">
        <f>'Benchmark détaillé'!O31</f>
        <v/>
      </c>
      <c r="P15">
        <f>'Benchmark détaillé'!O32</f>
        <v/>
      </c>
      <c r="Q15" s="12">
        <f>IFERROR(VLOOKUP(A15,'Discounts par marque'!$A:$G,4,FALSE),0)</f>
        <v/>
      </c>
      <c r="R15" s="12">
        <f>IFERROR(VLOOKUP(A15,'Discounts par marque'!$A:$G,5,FALSE),0)</f>
        <v/>
      </c>
      <c r="S15" s="12">
        <f>IFERROR(I15*(1-Q15/100),"")</f>
        <v/>
      </c>
      <c r="T15" s="12">
        <f>IFERROR(S15/(F15*G15),"")</f>
        <v/>
      </c>
      <c r="U15" s="12">
        <f>IFERROR(I15*(1-R15/100),"")</f>
        <v/>
      </c>
      <c r="V15" s="12">
        <f>IFERROR(U15/(F15*G15),"")</f>
        <v/>
      </c>
      <c r="W15" t="inlineStr">
        <is>
          <t>https://www.nutrimuscle.com/products/whey-concentree-native</t>
        </is>
      </c>
      <c r="X15" t="inlineStr">
        <is>
          <t>v1 avait 25.95€ (+46% correction)</t>
        </is>
      </c>
    </row>
    <row r="16">
      <c r="A16">
        <f>'Benchmark détaillé'!P1</f>
        <v/>
      </c>
      <c r="B16" t="inlineStr">
        <is>
          <t>Whey Native Concentrat 2,25kg</t>
        </is>
      </c>
      <c r="C16">
        <f>'Benchmark détaillé'!P4</f>
        <v/>
      </c>
      <c r="D16">
        <f>'Benchmark détaillé'!P10</f>
        <v/>
      </c>
      <c r="E16">
        <f>'Benchmark détaillé'!P5</f>
        <v/>
      </c>
      <c r="F16">
        <f>'Benchmark détaillé'!P15</f>
        <v/>
      </c>
      <c r="G16">
        <f>'Benchmark détaillé'!P13</f>
        <v/>
      </c>
      <c r="H16">
        <f>'Benchmark détaillé'!P21</f>
        <v/>
      </c>
      <c r="I16">
        <f>'Benchmark détaillé'!P22</f>
        <v/>
      </c>
      <c r="J16">
        <f>'Benchmark détaillé'!P23</f>
        <v/>
      </c>
      <c r="K16" s="12">
        <f>IFERROR((H16-I16)/H16*100,"")</f>
        <v/>
      </c>
      <c r="L16" s="12">
        <f>IFERROR((I16-J16)/I16*100,"")</f>
        <v/>
      </c>
      <c r="M16" s="12">
        <f>IFERROR(I16/(E16/1000),"")</f>
        <v/>
      </c>
      <c r="N16" s="12">
        <f>IFERROR(I16/(F16*G16),"")</f>
        <v/>
      </c>
      <c r="O16">
        <f>'Benchmark détaillé'!P31</f>
        <v/>
      </c>
      <c r="P16">
        <f>'Benchmark détaillé'!P32</f>
        <v/>
      </c>
      <c r="Q16" s="12">
        <f>IFERROR(VLOOKUP(A16,'Discounts par marque'!$A:$G,4,FALSE),0)</f>
        <v/>
      </c>
      <c r="R16" s="12">
        <f>IFERROR(VLOOKUP(A16,'Discounts par marque'!$A:$G,5,FALSE),0)</f>
        <v/>
      </c>
      <c r="S16" s="12">
        <f>IFERROR(I16*(1-Q16/100),"")</f>
        <v/>
      </c>
      <c r="T16" s="12">
        <f>IFERROR(S16/(F16*G16),"")</f>
        <v/>
      </c>
      <c r="U16" s="12">
        <f>IFERROR(I16*(1-R16/100),"")</f>
        <v/>
      </c>
      <c r="V16" s="12">
        <f>IFERROR(U16/(F16*G16),"")</f>
        <v/>
      </c>
      <c r="W16" t="inlineStr">
        <is>
          <t>https://www.nutrimuscle.com/products/whey-native</t>
        </is>
      </c>
    </row>
    <row r="17">
      <c r="A17">
        <f>'Benchmark détaillé'!Q1</f>
        <v/>
      </c>
      <c r="B17" t="inlineStr">
        <is>
          <t>Whey Native Concentrat 4kg</t>
        </is>
      </c>
      <c r="C17">
        <f>'Benchmark détaillé'!Q4</f>
        <v/>
      </c>
      <c r="D17">
        <f>'Benchmark détaillé'!Q10</f>
        <v/>
      </c>
      <c r="E17">
        <f>'Benchmark détaillé'!Q5</f>
        <v/>
      </c>
      <c r="F17">
        <f>'Benchmark détaillé'!Q15</f>
        <v/>
      </c>
      <c r="G17">
        <f>'Benchmark détaillé'!Q13</f>
        <v/>
      </c>
      <c r="H17">
        <f>'Benchmark détaillé'!Q21</f>
        <v/>
      </c>
      <c r="I17">
        <f>'Benchmark détaillé'!Q22</f>
        <v/>
      </c>
      <c r="J17">
        <f>'Benchmark détaillé'!Q23</f>
        <v/>
      </c>
      <c r="K17" s="12">
        <f>IFERROR((H17-I17)/H17*100,"")</f>
        <v/>
      </c>
      <c r="L17" s="12">
        <f>IFERROR((I17-J17)/I17*100,"")</f>
        <v/>
      </c>
      <c r="M17" s="12">
        <f>IFERROR(I17/(E17/1000),"")</f>
        <v/>
      </c>
      <c r="N17" s="12">
        <f>IFERROR(I17/(F17*G17),"")</f>
        <v/>
      </c>
      <c r="O17">
        <f>'Benchmark détaillé'!Q31</f>
        <v/>
      </c>
      <c r="P17">
        <f>'Benchmark détaillé'!Q32</f>
        <v/>
      </c>
      <c r="Q17" s="12">
        <f>IFERROR(VLOOKUP(A17,'Discounts par marque'!$A:$G,4,FALSE),0)</f>
        <v/>
      </c>
      <c r="R17" s="12">
        <f>IFERROR(VLOOKUP(A17,'Discounts par marque'!$A:$G,5,FALSE),0)</f>
        <v/>
      </c>
      <c r="S17" s="12">
        <f>IFERROR(I17*(1-Q17/100),"")</f>
        <v/>
      </c>
      <c r="T17" s="12">
        <f>IFERROR(S17/(F17*G17),"")</f>
        <v/>
      </c>
      <c r="U17" s="12">
        <f>IFERROR(I17*(1-R17/100),"")</f>
        <v/>
      </c>
      <c r="V17" s="12">
        <f>IFERROR(U17/(F17*G17),"")</f>
        <v/>
      </c>
      <c r="W17" t="inlineStr">
        <is>
          <t>https://www.nutrimuscle.com/products/whey-native</t>
        </is>
      </c>
    </row>
    <row r="18">
      <c r="A18">
        <f>'Benchmark détaillé'!R1</f>
        <v/>
      </c>
      <c r="B18" t="inlineStr">
        <is>
          <t>Whey Isolate Native 900g</t>
        </is>
      </c>
      <c r="C18">
        <f>'Benchmark détaillé'!R4</f>
        <v/>
      </c>
      <c r="D18">
        <f>'Benchmark détaillé'!R10</f>
        <v/>
      </c>
      <c r="E18">
        <f>'Benchmark détaillé'!R5</f>
        <v/>
      </c>
      <c r="F18">
        <f>'Benchmark détaillé'!R15</f>
        <v/>
      </c>
      <c r="G18">
        <f>'Benchmark détaillé'!R13</f>
        <v/>
      </c>
      <c r="H18">
        <f>'Benchmark détaillé'!R21</f>
        <v/>
      </c>
      <c r="I18">
        <f>'Benchmark détaillé'!R22</f>
        <v/>
      </c>
      <c r="J18">
        <f>'Benchmark détaillé'!R23</f>
        <v/>
      </c>
      <c r="K18" s="12">
        <f>IFERROR((H18-I18)/H18*100,"")</f>
        <v/>
      </c>
      <c r="L18" s="12">
        <f>IFERROR((I18-J18)/I18*100,"")</f>
        <v/>
      </c>
      <c r="M18" s="12">
        <f>IFERROR(I18/(E18/1000),"")</f>
        <v/>
      </c>
      <c r="N18" s="12">
        <f>IFERROR(I18/(F18*G18),"")</f>
        <v/>
      </c>
      <c r="O18">
        <f>'Benchmark détaillé'!R31</f>
        <v/>
      </c>
      <c r="P18">
        <f>'Benchmark détaillé'!R32</f>
        <v/>
      </c>
      <c r="Q18" s="12">
        <f>IFERROR(VLOOKUP(A18,'Discounts par marque'!$A:$G,4,FALSE),0)</f>
        <v/>
      </c>
      <c r="R18" s="12">
        <f>IFERROR(VLOOKUP(A18,'Discounts par marque'!$A:$G,5,FALSE),0)</f>
        <v/>
      </c>
      <c r="S18" s="12">
        <f>IFERROR(I18*(1-Q18/100),"")</f>
        <v/>
      </c>
      <c r="T18" s="12">
        <f>IFERROR(S18/(F18*G18),"")</f>
        <v/>
      </c>
      <c r="U18" s="12">
        <f>IFERROR(I18*(1-R18/100),"")</f>
        <v/>
      </c>
      <c r="V18" s="12">
        <f>IFERROR(U18/(F18*G18),"")</f>
        <v/>
      </c>
      <c r="W18" t="inlineStr">
        <is>
          <t>https://nutriandco.com/fr/produits/whey-isolate-native</t>
        </is>
      </c>
    </row>
    <row r="19">
      <c r="A19">
        <f>'Benchmark détaillé'!S1</f>
        <v/>
      </c>
      <c r="B19" t="inlineStr">
        <is>
          <t>Whey Concentrée Native 900g</t>
        </is>
      </c>
      <c r="C19">
        <f>'Benchmark détaillé'!S4</f>
        <v/>
      </c>
      <c r="D19">
        <f>'Benchmark détaillé'!S10</f>
        <v/>
      </c>
      <c r="E19">
        <f>'Benchmark détaillé'!S5</f>
        <v/>
      </c>
      <c r="F19">
        <f>'Benchmark détaillé'!S15</f>
        <v/>
      </c>
      <c r="G19">
        <f>'Benchmark détaillé'!S13</f>
        <v/>
      </c>
      <c r="H19">
        <f>'Benchmark détaillé'!S21</f>
        <v/>
      </c>
      <c r="I19">
        <f>'Benchmark détaillé'!S22</f>
        <v/>
      </c>
      <c r="J19">
        <f>'Benchmark détaillé'!S23</f>
        <v/>
      </c>
      <c r="K19" s="12">
        <f>IFERROR((H19-I19)/H19*100,"")</f>
        <v/>
      </c>
      <c r="L19" s="12">
        <f>IFERROR((I19-J19)/I19*100,"")</f>
        <v/>
      </c>
      <c r="M19" s="12">
        <f>IFERROR(I19/(E19/1000),"")</f>
        <v/>
      </c>
      <c r="N19" s="12">
        <f>IFERROR(I19/(F19*G19),"")</f>
        <v/>
      </c>
      <c r="O19">
        <f>'Benchmark détaillé'!S31</f>
        <v/>
      </c>
      <c r="P19">
        <f>'Benchmark détaillé'!S32</f>
        <v/>
      </c>
      <c r="Q19" s="12">
        <f>IFERROR(VLOOKUP(A19,'Discounts par marque'!$A:$G,4,FALSE),0)</f>
        <v/>
      </c>
      <c r="R19" s="12">
        <f>IFERROR(VLOOKUP(A19,'Discounts par marque'!$A:$G,5,FALSE),0)</f>
        <v/>
      </c>
      <c r="S19" s="12">
        <f>IFERROR(I19*(1-Q19/100),"")</f>
        <v/>
      </c>
      <c r="T19" s="12">
        <f>IFERROR(S19/(F19*G19),"")</f>
        <v/>
      </c>
      <c r="U19" s="12">
        <f>IFERROR(I19*(1-R19/100),"")</f>
        <v/>
      </c>
      <c r="V19" s="12">
        <f>IFERROR(U19/(F19*G19),"")</f>
        <v/>
      </c>
      <c r="W19" t="inlineStr">
        <is>
          <t>https://nutriandco.com/fr/produits/whey-native</t>
        </is>
      </c>
    </row>
    <row r="20">
      <c r="A20">
        <f>'Benchmark détaillé'!T1</f>
        <v/>
      </c>
      <c r="B20" t="inlineStr">
        <is>
          <t>Whey Native 810g</t>
        </is>
      </c>
      <c r="C20">
        <f>'Benchmark détaillé'!T4</f>
        <v/>
      </c>
      <c r="D20">
        <f>'Benchmark détaillé'!T10</f>
        <v/>
      </c>
      <c r="E20">
        <f>'Benchmark détaillé'!T5</f>
        <v/>
      </c>
      <c r="F20">
        <f>'Benchmark détaillé'!T15</f>
        <v/>
      </c>
      <c r="G20">
        <f>'Benchmark détaillé'!T13</f>
        <v/>
      </c>
      <c r="H20">
        <f>'Benchmark détaillé'!T21</f>
        <v/>
      </c>
      <c r="I20">
        <f>'Benchmark détaillé'!T22</f>
        <v/>
      </c>
      <c r="J20">
        <f>'Benchmark détaillé'!T23</f>
        <v/>
      </c>
      <c r="K20" s="12">
        <f>IFERROR((H20-I20)/H20*100,"")</f>
        <v/>
      </c>
      <c r="L20" s="12">
        <f>IFERROR((I20-J20)/I20*100,"")</f>
        <v/>
      </c>
      <c r="M20" s="12">
        <f>IFERROR(I20/(E20/1000),"")</f>
        <v/>
      </c>
      <c r="N20" s="12">
        <f>IFERROR(I20/(F20*G20),"")</f>
        <v/>
      </c>
      <c r="O20">
        <f>'Benchmark détaillé'!T31</f>
        <v/>
      </c>
      <c r="P20">
        <f>'Benchmark détaillé'!T32</f>
        <v/>
      </c>
      <c r="Q20" s="12">
        <f>IFERROR(VLOOKUP(A20,'Discounts par marque'!$A:$G,4,FALSE),0)</f>
        <v/>
      </c>
      <c r="R20" s="12">
        <f>IFERROR(VLOOKUP(A20,'Discounts par marque'!$A:$G,5,FALSE),0)</f>
        <v/>
      </c>
      <c r="S20" s="12">
        <f>IFERROR(I20*(1-Q20/100),"")</f>
        <v/>
      </c>
      <c r="T20" s="12">
        <f>IFERROR(S20/(F20*G20),"")</f>
        <v/>
      </c>
      <c r="U20" s="12">
        <f>IFERROR(I20*(1-R20/100),"")</f>
        <v/>
      </c>
      <c r="V20" s="12">
        <f>IFERROR(U20/(F20*G20),"")</f>
        <v/>
      </c>
      <c r="W20" t="inlineStr">
        <is>
          <t>https://www.aqeelab-nutrition.fr/products/whey-native-fabriquee-en-france-lait-francais</t>
        </is>
      </c>
    </row>
    <row r="21">
      <c r="A21">
        <f>'Benchmark détaillé'!U1</f>
        <v/>
      </c>
      <c r="B21" t="inlineStr">
        <is>
          <t>Iso Zero 100% Whey Protéine 500g</t>
        </is>
      </c>
      <c r="C21">
        <f>'Benchmark détaillé'!U4</f>
        <v/>
      </c>
      <c r="D21">
        <f>'Benchmark détaillé'!U10</f>
        <v/>
      </c>
      <c r="E21">
        <f>'Benchmark détaillé'!U5</f>
        <v/>
      </c>
      <c r="F21">
        <f>'Benchmark détaillé'!U15</f>
        <v/>
      </c>
      <c r="G21">
        <f>'Benchmark détaillé'!U13</f>
        <v/>
      </c>
      <c r="H21">
        <f>'Benchmark détaillé'!U21</f>
        <v/>
      </c>
      <c r="I21">
        <f>'Benchmark détaillé'!U22</f>
        <v/>
      </c>
      <c r="J21">
        <f>'Benchmark détaillé'!U23</f>
        <v/>
      </c>
      <c r="K21" s="12">
        <f>IFERROR((H21-I21)/H21*100,"")</f>
        <v/>
      </c>
      <c r="L21" s="12">
        <f>IFERROR((I21-J21)/I21*100,"")</f>
        <v/>
      </c>
      <c r="M21" s="12">
        <f>IFERROR(I21/(E21/1000),"")</f>
        <v/>
      </c>
      <c r="N21" s="12">
        <f>IFERROR(I21/(F21*G21),"")</f>
        <v/>
      </c>
      <c r="O21">
        <f>'Benchmark détaillé'!U31</f>
        <v/>
      </c>
      <c r="P21">
        <f>'Benchmark détaillé'!U32</f>
        <v/>
      </c>
      <c r="Q21" s="12">
        <f>IFERROR(VLOOKUP(A21,'Discounts par marque'!$A:$G,4,FALSE),0)</f>
        <v/>
      </c>
      <c r="R21" s="12">
        <f>IFERROR(VLOOKUP(A21,'Discounts par marque'!$A:$G,5,FALSE),0)</f>
        <v/>
      </c>
      <c r="S21" s="12">
        <f>IFERROR(I21*(1-Q21/100),"")</f>
        <v/>
      </c>
      <c r="T21" s="12">
        <f>IFERROR(S21/(F21*G21),"")</f>
        <v/>
      </c>
      <c r="U21" s="12">
        <f>IFERROR(I21*(1-R21/100),"")</f>
        <v/>
      </c>
      <c r="V21" s="12">
        <f>IFERROR(U21/(F21*G21),"")</f>
        <v/>
      </c>
      <c r="W21" t="inlineStr">
        <is>
          <t>https://www.ericfavre.com/fr_fr/proteines/iso-zero-100-whey-proteine-cookies-cream-500g-p-194-o-1216.htm</t>
        </is>
      </c>
    </row>
    <row r="22">
      <c r="A22">
        <f>'Benchmark détaillé'!V1</f>
        <v/>
      </c>
      <c r="B22" t="inlineStr">
        <is>
          <t>Iso Zero 100% Whey Protéine 1,5kg</t>
        </is>
      </c>
      <c r="C22">
        <f>'Benchmark détaillé'!V4</f>
        <v/>
      </c>
      <c r="D22">
        <f>'Benchmark détaillé'!V10</f>
        <v/>
      </c>
      <c r="E22">
        <f>'Benchmark détaillé'!V5</f>
        <v/>
      </c>
      <c r="F22">
        <f>'Benchmark détaillé'!V15</f>
        <v/>
      </c>
      <c r="G22">
        <f>'Benchmark détaillé'!V13</f>
        <v/>
      </c>
      <c r="H22">
        <f>'Benchmark détaillé'!V21</f>
        <v/>
      </c>
      <c r="I22">
        <f>'Benchmark détaillé'!V22</f>
        <v/>
      </c>
      <c r="J22">
        <f>'Benchmark détaillé'!V23</f>
        <v/>
      </c>
      <c r="K22" s="12">
        <f>IFERROR((H22-I22)/H22*100,"")</f>
        <v/>
      </c>
      <c r="L22" s="12">
        <f>IFERROR((I22-J22)/I22*100,"")</f>
        <v/>
      </c>
      <c r="M22" s="12">
        <f>IFERROR(I22/(E22/1000),"")</f>
        <v/>
      </c>
      <c r="N22" s="12">
        <f>IFERROR(I22/(F22*G22),"")</f>
        <v/>
      </c>
      <c r="O22">
        <f>'Benchmark détaillé'!V31</f>
        <v/>
      </c>
      <c r="P22">
        <f>'Benchmark détaillé'!V32</f>
        <v/>
      </c>
      <c r="Q22" s="12">
        <f>IFERROR(VLOOKUP(A22,'Discounts par marque'!$A:$G,4,FALSE),0)</f>
        <v/>
      </c>
      <c r="R22" s="12">
        <f>IFERROR(VLOOKUP(A22,'Discounts par marque'!$A:$G,5,FALSE),0)</f>
        <v/>
      </c>
      <c r="S22" s="12">
        <f>IFERROR(I22*(1-Q22/100),"")</f>
        <v/>
      </c>
      <c r="T22" s="12">
        <f>IFERROR(S22/(F22*G22),"")</f>
        <v/>
      </c>
      <c r="U22" s="12">
        <f>IFERROR(I22*(1-R22/100),"")</f>
        <v/>
      </c>
      <c r="V22" s="12">
        <f>IFERROR(U22/(F22*G22),"")</f>
        <v/>
      </c>
      <c r="W22" s="22" t="inlineStr">
        <is>
          <t>https://www.ericfavre.com/fr_fr/proteines/iso-zero-100-whey-proteine-choco-intense-1-5kg-p-194-o-1200.htm</t>
        </is>
      </c>
    </row>
    <row r="23">
      <c r="A23">
        <f>'Benchmark détaillé'!W1</f>
        <v/>
      </c>
      <c r="B23" t="inlineStr">
        <is>
          <t>Iso Zero 100% Whey Protéine 2kg</t>
        </is>
      </c>
      <c r="C23">
        <f>'Benchmark détaillé'!W4</f>
        <v/>
      </c>
      <c r="D23">
        <f>'Benchmark détaillé'!W10</f>
        <v/>
      </c>
      <c r="E23">
        <f>'Benchmark détaillé'!W5</f>
        <v/>
      </c>
      <c r="F23">
        <f>'Benchmark détaillé'!W15</f>
        <v/>
      </c>
      <c r="G23">
        <f>'Benchmark détaillé'!W13</f>
        <v/>
      </c>
      <c r="H23">
        <f>'Benchmark détaillé'!W21</f>
        <v/>
      </c>
      <c r="I23">
        <f>'Benchmark détaillé'!W22</f>
        <v/>
      </c>
      <c r="J23">
        <f>'Benchmark détaillé'!W23</f>
        <v/>
      </c>
      <c r="K23" s="12">
        <f>IFERROR((H23-I23)/H23*100,"")</f>
        <v/>
      </c>
      <c r="L23" s="12">
        <f>IFERROR((I23-J23)/I23*100,"")</f>
        <v/>
      </c>
      <c r="M23" s="12">
        <f>IFERROR(I23/(E23/1000),"")</f>
        <v/>
      </c>
      <c r="N23" s="12">
        <f>IFERROR(I23/(F23*G23),"")</f>
        <v/>
      </c>
      <c r="O23">
        <f>'Benchmark détaillé'!W31</f>
        <v/>
      </c>
      <c r="P23">
        <f>'Benchmark détaillé'!W32</f>
        <v/>
      </c>
      <c r="Q23" s="12">
        <f>IFERROR(VLOOKUP(A23,'Discounts par marque'!$A:$G,4,FALSE),0)</f>
        <v/>
      </c>
      <c r="R23" s="12">
        <f>IFERROR(VLOOKUP(A23,'Discounts par marque'!$A:$G,5,FALSE),0)</f>
        <v/>
      </c>
      <c r="S23" s="12">
        <f>IFERROR(I23*(1-Q23/100),"")</f>
        <v/>
      </c>
      <c r="T23" s="12">
        <f>IFERROR(S23/(F23*G23),"")</f>
        <v/>
      </c>
      <c r="U23" s="12">
        <f>IFERROR(I23*(1-R23/100),"")</f>
        <v/>
      </c>
      <c r="V23" s="12">
        <f>IFERROR(U23/(F23*G23),"")</f>
        <v/>
      </c>
      <c r="W23" t="inlineStr">
        <is>
          <t>https://www.ericfavre.com/fr_fr/proteines/iso-zero-100-whey-proteine-chocotella-2kg-p-194-o-155.htm</t>
        </is>
      </c>
    </row>
    <row r="24">
      <c r="A24">
        <f>'Benchmark détaillé'!X1</f>
        <v/>
      </c>
      <c r="B24" t="inlineStr">
        <is>
          <t>Whey Optimax Protein 500g</t>
        </is>
      </c>
      <c r="C24">
        <f>'Benchmark détaillé'!X4</f>
        <v/>
      </c>
      <c r="D24">
        <f>'Benchmark détaillé'!X10</f>
        <v/>
      </c>
      <c r="E24">
        <f>'Benchmark détaillé'!X5</f>
        <v/>
      </c>
      <c r="F24">
        <f>'Benchmark détaillé'!X15</f>
        <v/>
      </c>
      <c r="G24">
        <f>'Benchmark détaillé'!X13</f>
        <v/>
      </c>
      <c r="H24">
        <f>'Benchmark détaillé'!X21</f>
        <v/>
      </c>
      <c r="I24">
        <f>'Benchmark détaillé'!X22</f>
        <v/>
      </c>
      <c r="J24">
        <f>'Benchmark détaillé'!X23</f>
        <v/>
      </c>
      <c r="K24" s="12">
        <f>IFERROR((H24-I24)/H24*100,"")</f>
        <v/>
      </c>
      <c r="L24" s="12">
        <f>IFERROR((I24-J24)/I24*100,"")</f>
        <v/>
      </c>
      <c r="M24" s="12">
        <f>IFERROR(I24/(E24/1000),"")</f>
        <v/>
      </c>
      <c r="N24" s="12">
        <f>IFERROR(I24/(F24*G24),"")</f>
        <v/>
      </c>
      <c r="O24">
        <f>'Benchmark détaillé'!X31</f>
        <v/>
      </c>
      <c r="P24">
        <f>'Benchmark détaillé'!X32</f>
        <v/>
      </c>
      <c r="Q24" s="12">
        <f>IFERROR(VLOOKUP(A24,'Discounts par marque'!$A:$G,4,FALSE),0)</f>
        <v/>
      </c>
      <c r="R24" s="12">
        <f>IFERROR(VLOOKUP(A24,'Discounts par marque'!$A:$G,5,FALSE),0)</f>
        <v/>
      </c>
      <c r="S24" s="12">
        <f>IFERROR(I24*(1-Q24/100),"")</f>
        <v/>
      </c>
      <c r="T24" s="12">
        <f>IFERROR(S24/(F24*G24),"")</f>
        <v/>
      </c>
      <c r="U24" s="12">
        <f>IFERROR(I24*(1-R24/100),"")</f>
        <v/>
      </c>
      <c r="V24" s="12">
        <f>IFERROR(U24/(F24*G24),"")</f>
        <v/>
      </c>
      <c r="W24" t="inlineStr">
        <is>
          <t>https://www.ericfavre.com/fr_fr/proteines/whey-optimax-protein-biscuit-cookie-500g-p-622-o-1369.htm</t>
        </is>
      </c>
    </row>
    <row r="25">
      <c r="A25">
        <f>'Benchmark détaillé'!Y1</f>
        <v/>
      </c>
      <c r="B25" t="inlineStr">
        <is>
          <t>Whey Optimax Protein 1,5kg</t>
        </is>
      </c>
      <c r="C25">
        <f>'Benchmark détaillé'!Y4</f>
        <v/>
      </c>
      <c r="D25">
        <f>'Benchmark détaillé'!Y10</f>
        <v/>
      </c>
      <c r="E25">
        <f>'Benchmark détaillé'!Y5</f>
        <v/>
      </c>
      <c r="F25">
        <f>'Benchmark détaillé'!Y15</f>
        <v/>
      </c>
      <c r="G25">
        <f>'Benchmark détaillé'!Y13</f>
        <v/>
      </c>
      <c r="H25">
        <f>'Benchmark détaillé'!Y21</f>
        <v/>
      </c>
      <c r="I25">
        <f>'Benchmark détaillé'!Y22</f>
        <v/>
      </c>
      <c r="J25">
        <f>'Benchmark détaillé'!Y23</f>
        <v/>
      </c>
      <c r="K25" s="12">
        <f>IFERROR((H25-I25)/H25*100,"")</f>
        <v/>
      </c>
      <c r="L25" s="12">
        <f>IFERROR((I25-J25)/I25*100,"")</f>
        <v/>
      </c>
      <c r="M25" s="12">
        <f>IFERROR(I25/(E25/1000),"")</f>
        <v/>
      </c>
      <c r="N25" s="12">
        <f>IFERROR(I25/(F25*G25),"")</f>
        <v/>
      </c>
      <c r="O25">
        <f>'Benchmark détaillé'!Y31</f>
        <v/>
      </c>
      <c r="P25">
        <f>'Benchmark détaillé'!Y32</f>
        <v/>
      </c>
      <c r="Q25" s="12">
        <f>IFERROR(VLOOKUP(A25,'Discounts par marque'!$A:$G,4,FALSE),0)</f>
        <v/>
      </c>
      <c r="R25" s="12">
        <f>IFERROR(VLOOKUP(A25,'Discounts par marque'!$A:$G,5,FALSE),0)</f>
        <v/>
      </c>
      <c r="S25" s="12">
        <f>IFERROR(I25*(1-Q25/100),"")</f>
        <v/>
      </c>
      <c r="T25" s="12">
        <f>IFERROR(S25/(F25*G25),"")</f>
        <v/>
      </c>
      <c r="U25" s="12">
        <f>IFERROR(I25*(1-R25/100),"")</f>
        <v/>
      </c>
      <c r="V25" s="12">
        <f>IFERROR(U25/(F25*G25),"")</f>
        <v/>
      </c>
      <c r="W25" t="inlineStr">
        <is>
          <t>https://www.ericfavre.com/fr_fr/proteines/whey-optimax-protein-chocolat-1-5kg-p-622-o-1370.htm</t>
        </is>
      </c>
    </row>
    <row r="26">
      <c r="A26">
        <f>'Benchmark détaillé'!Z1</f>
        <v/>
      </c>
      <c r="B26" t="inlineStr">
        <is>
          <t>Whey Zero Protéine 2kg</t>
        </is>
      </c>
      <c r="C26">
        <f>'Benchmark détaillé'!Z4</f>
        <v/>
      </c>
      <c r="D26">
        <f>'Benchmark détaillé'!Z10</f>
        <v/>
      </c>
      <c r="E26">
        <f>'Benchmark détaillé'!Z5</f>
        <v/>
      </c>
      <c r="F26">
        <f>'Benchmark détaillé'!Z15</f>
        <v/>
      </c>
      <c r="G26">
        <f>'Benchmark détaillé'!Z13</f>
        <v/>
      </c>
      <c r="H26">
        <f>'Benchmark détaillé'!Z21</f>
        <v/>
      </c>
      <c r="I26">
        <f>'Benchmark détaillé'!Z22</f>
        <v/>
      </c>
      <c r="J26">
        <f>'Benchmark détaillé'!Z23</f>
        <v/>
      </c>
      <c r="K26" s="12">
        <f>IFERROR((H26-I26)/H26*100,"")</f>
        <v/>
      </c>
      <c r="L26" s="12">
        <f>IFERROR((I26-J26)/I26*100,"")</f>
        <v/>
      </c>
      <c r="M26" s="12">
        <f>IFERROR(I26/(E26/1000),"")</f>
        <v/>
      </c>
      <c r="N26" s="12">
        <f>IFERROR(I26/(F26*G26),"")</f>
        <v/>
      </c>
      <c r="O26">
        <f>'Benchmark détaillé'!Z31</f>
        <v/>
      </c>
      <c r="P26">
        <f>'Benchmark détaillé'!Z32</f>
        <v/>
      </c>
      <c r="Q26" s="12">
        <f>IFERROR(VLOOKUP(A26,'Discounts par marque'!$A:$G,4,FALSE),0)</f>
        <v/>
      </c>
      <c r="R26" s="12">
        <f>IFERROR(VLOOKUP(A26,'Discounts par marque'!$A:$G,5,FALSE),0)</f>
        <v/>
      </c>
      <c r="S26" s="12">
        <f>IFERROR(I26*(1-Q26/100),"")</f>
        <v/>
      </c>
      <c r="T26" s="12">
        <f>IFERROR(S26/(F26*G26),"")</f>
        <v/>
      </c>
      <c r="U26" s="12">
        <f>IFERROR(I26*(1-R26/100),"")</f>
        <v/>
      </c>
      <c r="V26" s="12">
        <f>IFERROR(U26/(F26*G26),"")</f>
        <v/>
      </c>
      <c r="W26" t="inlineStr">
        <is>
          <t>https://www.ericfavre.com/fr_fr/proteines/whey-zero-chocolat-2kg-p-517-o-1093.htm</t>
        </is>
      </c>
    </row>
    <row r="27">
      <c r="A27">
        <f>'Benchmark détaillé'!AA1</f>
        <v/>
      </c>
      <c r="B27" t="inlineStr">
        <is>
          <t>Iso Fusion Protein Complex 750g</t>
        </is>
      </c>
      <c r="C27">
        <f>'Benchmark détaillé'!AA4</f>
        <v/>
      </c>
      <c r="D27">
        <f>'Benchmark détaillé'!AA10</f>
        <v/>
      </c>
      <c r="E27">
        <f>'Benchmark détaillé'!AA5</f>
        <v/>
      </c>
      <c r="F27">
        <f>'Benchmark détaillé'!AA15</f>
        <v/>
      </c>
      <c r="G27">
        <f>'Benchmark détaillé'!AA13</f>
        <v/>
      </c>
      <c r="H27">
        <f>'Benchmark détaillé'!AA21</f>
        <v/>
      </c>
      <c r="I27">
        <f>'Benchmark détaillé'!AA22</f>
        <v/>
      </c>
      <c r="J27">
        <f>'Benchmark détaillé'!AA23</f>
        <v/>
      </c>
      <c r="K27" s="12">
        <f>IFERROR((H27-I27)/H27*100,"")</f>
        <v/>
      </c>
      <c r="L27" s="12">
        <f>IFERROR((I27-J27)/I27*100,"")</f>
        <v/>
      </c>
      <c r="M27" s="12">
        <f>IFERROR(I27/(E27/1000),"")</f>
        <v/>
      </c>
      <c r="N27" s="12">
        <f>IFERROR(I27/(F27*G27),"")</f>
        <v/>
      </c>
      <c r="O27">
        <f>'Benchmark détaillé'!AA31</f>
        <v/>
      </c>
      <c r="P27">
        <f>'Benchmark détaillé'!AA32</f>
        <v/>
      </c>
      <c r="Q27" s="12">
        <f>IFERROR(VLOOKUP(A27,'Discounts par marque'!$A:$G,4,FALSE),0)</f>
        <v/>
      </c>
      <c r="R27" s="12">
        <f>IFERROR(VLOOKUP(A27,'Discounts par marque'!$A:$G,5,FALSE),0)</f>
        <v/>
      </c>
      <c r="S27" s="12">
        <f>IFERROR(I27*(1-Q27/100),"")</f>
        <v/>
      </c>
      <c r="T27" s="12">
        <f>IFERROR(S27/(F27*G27),"")</f>
        <v/>
      </c>
      <c r="U27" s="12">
        <f>IFERROR(I27*(1-R27/100),"")</f>
        <v/>
      </c>
      <c r="V27" s="12">
        <f>IFERROR(U27/(F27*G27),"")</f>
        <v/>
      </c>
      <c r="W27" t="inlineStr">
        <is>
          <t>https://www.ericfavre.com/fr_fr/proteines/iso-fusion-biscuit-cookie-750g-p-907-o-1924.htm</t>
        </is>
      </c>
    </row>
    <row r="28">
      <c r="A28">
        <f>'Benchmark détaillé'!AB1</f>
        <v/>
      </c>
      <c r="B28" t="inlineStr">
        <is>
          <t>Iso Fusion Protein Complex 2kg</t>
        </is>
      </c>
      <c r="C28">
        <f>'Benchmark détaillé'!AB4</f>
        <v/>
      </c>
      <c r="D28">
        <f>'Benchmark détaillé'!AB10</f>
        <v/>
      </c>
      <c r="E28">
        <f>'Benchmark détaillé'!AB5</f>
        <v/>
      </c>
      <c r="F28">
        <f>'Benchmark détaillé'!AB15</f>
        <v/>
      </c>
      <c r="G28">
        <f>'Benchmark détaillé'!AB13</f>
        <v/>
      </c>
      <c r="H28">
        <f>'Benchmark détaillé'!AB21</f>
        <v/>
      </c>
      <c r="I28">
        <f>'Benchmark détaillé'!AB22</f>
        <v/>
      </c>
      <c r="J28">
        <f>'Benchmark détaillé'!AB23</f>
        <v/>
      </c>
      <c r="K28" s="12">
        <f>IFERROR((H28-I28)/H28*100,"")</f>
        <v/>
      </c>
      <c r="L28" s="12">
        <f>IFERROR((I28-J28)/I28*100,"")</f>
        <v/>
      </c>
      <c r="M28" s="12">
        <f>IFERROR(I28/(E28/1000),"")</f>
        <v/>
      </c>
      <c r="N28" s="12">
        <f>IFERROR(I28/(F28*G28),"")</f>
        <v/>
      </c>
      <c r="O28">
        <f>'Benchmark détaillé'!AB31</f>
        <v/>
      </c>
      <c r="P28">
        <f>'Benchmark détaillé'!AB32</f>
        <v/>
      </c>
      <c r="Q28" s="12">
        <f>IFERROR(VLOOKUP(A28,'Discounts par marque'!$A:$G,4,FALSE),0)</f>
        <v/>
      </c>
      <c r="R28" s="12">
        <f>IFERROR(VLOOKUP(A28,'Discounts par marque'!$A:$G,5,FALSE),0)</f>
        <v/>
      </c>
      <c r="S28" s="12">
        <f>IFERROR(I28*(1-Q28/100),"")</f>
        <v/>
      </c>
      <c r="T28" s="12">
        <f>IFERROR(S28/(F28*G28),"")</f>
        <v/>
      </c>
      <c r="U28" s="12">
        <f>IFERROR(I28*(1-R28/100),"")</f>
        <v/>
      </c>
      <c r="V28" s="12">
        <f>IFERROR(U28/(F28*G28),"")</f>
        <v/>
      </c>
      <c r="W28" t="inlineStr">
        <is>
          <t>https://www.ericfavre.com/fr_fr/proteines/iso-fusion-biscuit-cookie-2kg-p-907-o-1925.htm</t>
        </is>
      </c>
    </row>
    <row r="29">
      <c r="A29">
        <f>'Benchmark détaillé'!AC1</f>
        <v/>
      </c>
      <c r="B29" t="inlineStr">
        <is>
          <t>Pure Isolate 750g</t>
        </is>
      </c>
      <c r="C29">
        <f>'Benchmark détaillé'!AC4</f>
        <v/>
      </c>
      <c r="D29">
        <f>'Benchmark détaillé'!AC10</f>
        <v/>
      </c>
      <c r="E29">
        <f>'Benchmark détaillé'!AC5</f>
        <v/>
      </c>
      <c r="F29">
        <f>'Benchmark détaillé'!AC15</f>
        <v/>
      </c>
      <c r="G29">
        <f>'Benchmark détaillé'!AC13</f>
        <v/>
      </c>
      <c r="H29">
        <f>'Benchmark détaillé'!AC21</f>
        <v/>
      </c>
      <c r="I29">
        <f>'Benchmark détaillé'!AC22</f>
        <v/>
      </c>
      <c r="J29">
        <f>'Benchmark détaillé'!AC23</f>
        <v/>
      </c>
      <c r="K29" s="12">
        <f>IFERROR((H29-I29)/H29*100,"")</f>
        <v/>
      </c>
      <c r="L29" s="12">
        <f>IFERROR((I29-J29)/I29*100,"")</f>
        <v/>
      </c>
      <c r="M29" s="12">
        <f>IFERROR(I29/(E29/1000),"")</f>
        <v/>
      </c>
      <c r="N29" s="12">
        <f>IFERROR(I29/(F29*G29),"")</f>
        <v/>
      </c>
      <c r="O29">
        <f>'Benchmark détaillé'!AC31</f>
        <v/>
      </c>
      <c r="P29">
        <f>'Benchmark détaillé'!AC32</f>
        <v/>
      </c>
      <c r="Q29" s="12">
        <f>IFERROR(VLOOKUP(A29,'Discounts par marque'!$A:$G,4,FALSE),0)</f>
        <v/>
      </c>
      <c r="R29" s="12">
        <f>IFERROR(VLOOKUP(A29,'Discounts par marque'!$A:$G,5,FALSE),0)</f>
        <v/>
      </c>
      <c r="S29" s="12">
        <f>IFERROR(I29*(1-Q29/100),"")</f>
        <v/>
      </c>
      <c r="T29" s="12">
        <f>IFERROR(S29/(F29*G29),"")</f>
        <v/>
      </c>
      <c r="U29" s="12">
        <f>IFERROR(I29*(1-R29/100),"")</f>
        <v/>
      </c>
      <c r="V29" s="12">
        <f>IFERROR(U29/(F29*G29),"")</f>
        <v/>
      </c>
      <c r="W29" t="inlineStr">
        <is>
          <t>https://www.eafit.com/eafit-pure-isolate.html</t>
        </is>
      </c>
    </row>
    <row r="30">
      <c r="A30">
        <f>'Benchmark détaillé'!AD1</f>
        <v/>
      </c>
      <c r="B30" t="inlineStr">
        <is>
          <t>Pure Isolate Premium 750g</t>
        </is>
      </c>
      <c r="C30">
        <f>'Benchmark détaillé'!AD4</f>
        <v/>
      </c>
      <c r="D30">
        <f>'Benchmark détaillé'!AD10</f>
        <v/>
      </c>
      <c r="E30">
        <f>'Benchmark détaillé'!AD5</f>
        <v/>
      </c>
      <c r="F30">
        <f>'Benchmark détaillé'!AD15</f>
        <v/>
      </c>
      <c r="G30">
        <f>'Benchmark détaillé'!AD13</f>
        <v/>
      </c>
      <c r="H30">
        <f>'Benchmark détaillé'!AD21</f>
        <v/>
      </c>
      <c r="I30">
        <f>'Benchmark détaillé'!AD22</f>
        <v/>
      </c>
      <c r="J30">
        <f>'Benchmark détaillé'!AD23</f>
        <v/>
      </c>
      <c r="K30" s="12">
        <f>IFERROR((H30-I30)/H30*100,"")</f>
        <v/>
      </c>
      <c r="L30" s="12">
        <f>IFERROR((I30-J30)/I30*100,"")</f>
        <v/>
      </c>
      <c r="M30" s="12">
        <f>IFERROR(I30/(E30/1000),"")</f>
        <v/>
      </c>
      <c r="N30" s="12">
        <f>IFERROR(I30/(F30*G30),"")</f>
        <v/>
      </c>
      <c r="O30">
        <f>'Benchmark détaillé'!AD31</f>
        <v/>
      </c>
      <c r="P30">
        <f>'Benchmark détaillé'!AD32</f>
        <v/>
      </c>
      <c r="Q30" s="12">
        <f>IFERROR(VLOOKUP(A30,'Discounts par marque'!$A:$G,4,FALSE),0)</f>
        <v/>
      </c>
      <c r="R30" s="12">
        <f>IFERROR(VLOOKUP(A30,'Discounts par marque'!$A:$G,5,FALSE),0)</f>
        <v/>
      </c>
      <c r="S30" s="12">
        <f>IFERROR(I30*(1-Q30/100),"")</f>
        <v/>
      </c>
      <c r="T30" s="12">
        <f>IFERROR(S30/(F30*G30),"")</f>
        <v/>
      </c>
      <c r="U30" s="12">
        <f>IFERROR(I30*(1-R30/100),"")</f>
        <v/>
      </c>
      <c r="V30" s="12">
        <f>IFERROR(U30/(F30*G30),"")</f>
        <v/>
      </c>
      <c r="W30" s="22" t="inlineStr">
        <is>
          <t>https://www.eafit.com/eafit-pure-isolate-premium.html</t>
        </is>
      </c>
    </row>
    <row r="31">
      <c r="A31">
        <f>'Benchmark détaillé'!AE1</f>
        <v/>
      </c>
      <c r="B31" t="inlineStr">
        <is>
          <t>Pure Whey Protein 750g</t>
        </is>
      </c>
      <c r="C31">
        <f>'Benchmark détaillé'!AE4</f>
        <v/>
      </c>
      <c r="D31">
        <f>'Benchmark détaillé'!AE10</f>
        <v/>
      </c>
      <c r="E31">
        <f>'Benchmark détaillé'!AE5</f>
        <v/>
      </c>
      <c r="F31">
        <f>'Benchmark détaillé'!AE15</f>
        <v/>
      </c>
      <c r="G31">
        <f>'Benchmark détaillé'!AE13</f>
        <v/>
      </c>
      <c r="H31">
        <f>'Benchmark détaillé'!AE21</f>
        <v/>
      </c>
      <c r="I31">
        <f>'Benchmark détaillé'!AE22</f>
        <v/>
      </c>
      <c r="J31">
        <f>'Benchmark détaillé'!AE23</f>
        <v/>
      </c>
      <c r="K31" s="12">
        <f>IFERROR((H31-I31)/H31*100,"")</f>
        <v/>
      </c>
      <c r="L31" s="12">
        <f>IFERROR((I31-J31)/I31*100,"")</f>
        <v/>
      </c>
      <c r="M31" s="12">
        <f>IFERROR(I31/(E31/1000),"")</f>
        <v/>
      </c>
      <c r="N31" s="12">
        <f>IFERROR(I31/(F31*G31),"")</f>
        <v/>
      </c>
      <c r="O31">
        <f>'Benchmark détaillé'!AE31</f>
        <v/>
      </c>
      <c r="P31">
        <f>'Benchmark détaillé'!AE32</f>
        <v/>
      </c>
      <c r="Q31" s="12">
        <f>IFERROR(VLOOKUP(A31,'Discounts par marque'!$A:$G,4,FALSE),0)</f>
        <v/>
      </c>
      <c r="R31" s="12">
        <f>IFERROR(VLOOKUP(A31,'Discounts par marque'!$A:$G,5,FALSE),0)</f>
        <v/>
      </c>
      <c r="S31" s="12">
        <f>IFERROR(I31*(1-Q31/100),"")</f>
        <v/>
      </c>
      <c r="T31" s="12">
        <f>IFERROR(S31/(F31*G31),"")</f>
        <v/>
      </c>
      <c r="U31" s="12">
        <f>IFERROR(I31*(1-R31/100),"")</f>
        <v/>
      </c>
      <c r="V31" s="12">
        <f>IFERROR(U31/(F31*G31),"")</f>
        <v/>
      </c>
      <c r="W31" t="inlineStr">
        <is>
          <t>https://www.eafit.com/eafit-pure-whey.html</t>
        </is>
      </c>
    </row>
    <row r="32">
      <c r="A32">
        <f>'Benchmark détaillé'!AF1</f>
        <v/>
      </c>
      <c r="B32" t="inlineStr">
        <is>
          <t>Mega Whey Creatine Complex 750g</t>
        </is>
      </c>
      <c r="C32">
        <f>'Benchmark détaillé'!AF4</f>
        <v/>
      </c>
      <c r="D32">
        <f>'Benchmark détaillé'!AF10</f>
        <v/>
      </c>
      <c r="E32">
        <f>'Benchmark détaillé'!AF5</f>
        <v/>
      </c>
      <c r="F32">
        <f>'Benchmark détaillé'!AF15</f>
        <v/>
      </c>
      <c r="G32">
        <f>'Benchmark détaillé'!AF13</f>
        <v/>
      </c>
      <c r="H32">
        <f>'Benchmark détaillé'!AF21</f>
        <v/>
      </c>
      <c r="I32">
        <f>'Benchmark détaillé'!AF22</f>
        <v/>
      </c>
      <c r="J32">
        <f>'Benchmark détaillé'!AF23</f>
        <v/>
      </c>
      <c r="K32" s="12">
        <f>IFERROR((H32-I32)/H32*100,"")</f>
        <v/>
      </c>
      <c r="L32" s="12">
        <f>IFERROR((I32-J32)/I32*100,"")</f>
        <v/>
      </c>
      <c r="M32" s="12">
        <f>IFERROR(I32/(E32/1000),"")</f>
        <v/>
      </c>
      <c r="N32" s="12">
        <f>IFERROR(I32/(F32*G32),"")</f>
        <v/>
      </c>
      <c r="O32">
        <f>'Benchmark détaillé'!AF31</f>
        <v/>
      </c>
      <c r="P32">
        <f>'Benchmark détaillé'!AF32</f>
        <v/>
      </c>
      <c r="Q32" s="12">
        <f>IFERROR(VLOOKUP(A32,'Discounts par marque'!$A:$G,4,FALSE),0)</f>
        <v/>
      </c>
      <c r="R32" s="12">
        <f>IFERROR(VLOOKUP(A32,'Discounts par marque'!$A:$G,5,FALSE),0)</f>
        <v/>
      </c>
      <c r="S32" s="12">
        <f>IFERROR(I32*(1-Q32/100),"")</f>
        <v/>
      </c>
      <c r="T32" s="12">
        <f>IFERROR(S32/(F32*G32),"")</f>
        <v/>
      </c>
      <c r="U32" s="12">
        <f>IFERROR(I32*(1-R32/100),"")</f>
        <v/>
      </c>
      <c r="V32" s="12">
        <f>IFERROR(U32/(F32*G32),"")</f>
        <v/>
      </c>
      <c r="W32" t="inlineStr">
        <is>
          <t>https://www.eafit.com/eafit-megawhey.html</t>
        </is>
      </c>
    </row>
    <row r="33">
      <c r="A33">
        <f>'Benchmark détaillé'!AG1</f>
        <v/>
      </c>
      <c r="B33" t="inlineStr">
        <is>
          <t>Pure Whey Protein 850g</t>
        </is>
      </c>
      <c r="C33">
        <f>'Benchmark détaillé'!AG4</f>
        <v/>
      </c>
      <c r="D33">
        <f>'Benchmark détaillé'!AG10</f>
        <v/>
      </c>
      <c r="E33">
        <f>'Benchmark détaillé'!AG5</f>
        <v/>
      </c>
      <c r="F33">
        <f>'Benchmark détaillé'!AG15</f>
        <v/>
      </c>
      <c r="G33">
        <f>'Benchmark détaillé'!AG13</f>
        <v/>
      </c>
      <c r="H33">
        <f>'Benchmark détaillé'!AG21</f>
        <v/>
      </c>
      <c r="I33">
        <f>'Benchmark détaillé'!AG22</f>
        <v/>
      </c>
      <c r="J33">
        <f>'Benchmark détaillé'!AG23</f>
        <v/>
      </c>
      <c r="K33" s="12">
        <f>IFERROR((H33-I33)/H33*100,"")</f>
        <v/>
      </c>
      <c r="L33" s="12">
        <f>IFERROR((I33-J33)/I33*100,"")</f>
        <v/>
      </c>
      <c r="M33" s="12">
        <f>IFERROR(I33/(E33/1000),"")</f>
        <v/>
      </c>
      <c r="N33" s="12">
        <f>IFERROR(I33/(F33*G33),"")</f>
        <v/>
      </c>
      <c r="O33">
        <f>'Benchmark détaillé'!AG31</f>
        <v/>
      </c>
      <c r="P33">
        <f>'Benchmark détaillé'!AG32</f>
        <v/>
      </c>
      <c r="Q33" s="12">
        <f>IFERROR(VLOOKUP(A33,'Discounts par marque'!$A:$G,4,FALSE),0)</f>
        <v/>
      </c>
      <c r="R33" s="12">
        <f>IFERROR(VLOOKUP(A33,'Discounts par marque'!$A:$G,5,FALSE),0)</f>
        <v/>
      </c>
      <c r="S33" s="12">
        <f>IFERROR(I33*(1-Q33/100),"")</f>
        <v/>
      </c>
      <c r="T33" s="12">
        <f>IFERROR(S33/(F33*G33),"")</f>
        <v/>
      </c>
      <c r="U33" s="12">
        <f>IFERROR(I33*(1-R33/100),"")</f>
        <v/>
      </c>
      <c r="V33" s="12">
        <f>IFERROR(U33/(F33*G33),"")</f>
        <v/>
      </c>
      <c r="W33" t="inlineStr">
        <is>
          <t>https://www.eafit.com/eafit-pure-whey.html</t>
        </is>
      </c>
    </row>
    <row r="34">
      <c r="A34">
        <f>'Benchmark détaillé'!AH1</f>
        <v/>
      </c>
      <c r="B34" t="inlineStr">
        <is>
          <t>Pure Whey Protein 2.2kg</t>
        </is>
      </c>
      <c r="C34">
        <f>'Benchmark détaillé'!AH4</f>
        <v/>
      </c>
      <c r="D34">
        <f>'Benchmark détaillé'!AH10</f>
        <v/>
      </c>
      <c r="E34">
        <f>'Benchmark détaillé'!AH5</f>
        <v/>
      </c>
      <c r="F34">
        <f>'Benchmark détaillé'!AH15</f>
        <v/>
      </c>
      <c r="G34">
        <f>'Benchmark détaillé'!AH13</f>
        <v/>
      </c>
      <c r="H34">
        <f>'Benchmark détaillé'!AH21</f>
        <v/>
      </c>
      <c r="I34">
        <f>'Benchmark détaillé'!AH22</f>
        <v/>
      </c>
      <c r="J34">
        <f>'Benchmark détaillé'!AH23</f>
        <v/>
      </c>
      <c r="K34" s="12">
        <f>IFERROR((H34-I34)/H34*100,"")</f>
        <v/>
      </c>
      <c r="L34" s="12">
        <f>IFERROR((I34-J34)/I34*100,"")</f>
        <v/>
      </c>
      <c r="M34" s="12">
        <f>IFERROR(I34/(E34/1000),"")</f>
        <v/>
      </c>
      <c r="N34" s="12">
        <f>IFERROR(I34/(F34*G34),"")</f>
        <v/>
      </c>
      <c r="O34">
        <f>'Benchmark détaillé'!AH31</f>
        <v/>
      </c>
      <c r="P34">
        <f>'Benchmark détaillé'!AH32</f>
        <v/>
      </c>
      <c r="Q34" s="12">
        <f>IFERROR(VLOOKUP(A34,'Discounts par marque'!$A:$G,4,FALSE),0)</f>
        <v/>
      </c>
      <c r="R34" s="12">
        <f>IFERROR(VLOOKUP(A34,'Discounts par marque'!$A:$G,5,FALSE),0)</f>
        <v/>
      </c>
      <c r="S34" s="12">
        <f>IFERROR(I34*(1-Q34/100),"")</f>
        <v/>
      </c>
      <c r="T34" s="12">
        <f>IFERROR(S34/(F34*G34),"")</f>
        <v/>
      </c>
      <c r="U34" s="12">
        <f>IFERROR(I34*(1-R34/100),"")</f>
        <v/>
      </c>
      <c r="V34" s="12">
        <f>IFERROR(U34/(F34*G34),"")</f>
        <v/>
      </c>
      <c r="W34" t="inlineStr">
        <is>
          <t>https://www.eafit.com/eafit-pure-whey.html</t>
        </is>
      </c>
    </row>
    <row r="35">
      <c r="A35">
        <f>'Benchmark détaillé'!AI1</f>
        <v/>
      </c>
      <c r="B35" t="inlineStr">
        <is>
          <t>Pure Whey Isolate 1kg</t>
        </is>
      </c>
      <c r="C35">
        <f>'Benchmark détaillé'!AI4</f>
        <v/>
      </c>
      <c r="D35">
        <f>'Benchmark détaillé'!AI10</f>
        <v/>
      </c>
      <c r="E35">
        <f>'Benchmark détaillé'!AI5</f>
        <v/>
      </c>
      <c r="F35">
        <f>'Benchmark détaillé'!AI15</f>
        <v/>
      </c>
      <c r="G35">
        <f>'Benchmark détaillé'!AI13</f>
        <v/>
      </c>
      <c r="H35">
        <f>'Benchmark détaillé'!AI21</f>
        <v/>
      </c>
      <c r="I35">
        <f>'Benchmark détaillé'!AI22</f>
        <v/>
      </c>
      <c r="J35">
        <f>'Benchmark détaillé'!AI23</f>
        <v/>
      </c>
      <c r="K35" s="12">
        <f>IFERROR((H35-I35)/H35*100,"")</f>
        <v/>
      </c>
      <c r="L35" s="12">
        <f>IFERROR((I35-J35)/I35*100,"")</f>
        <v/>
      </c>
      <c r="M35" s="12">
        <f>IFERROR(I35/(E35/1000),"")</f>
        <v/>
      </c>
      <c r="N35" s="12">
        <f>IFERROR(I35/(F35*G35),"")</f>
        <v/>
      </c>
      <c r="O35">
        <f>'Benchmark détaillé'!AI31</f>
        <v/>
      </c>
      <c r="P35">
        <f>'Benchmark détaillé'!AI32</f>
        <v/>
      </c>
      <c r="Q35" s="12">
        <f>IFERROR(VLOOKUP(A35,'Discounts par marque'!$A:$G,4,FALSE),0)</f>
        <v/>
      </c>
      <c r="R35" s="12">
        <f>IFERROR(VLOOKUP(A35,'Discounts par marque'!$A:$G,5,FALSE),0)</f>
        <v/>
      </c>
      <c r="S35" s="12">
        <f>IFERROR(I35*(1-Q35/100),"")</f>
        <v/>
      </c>
      <c r="T35" s="12">
        <f>IFERROR(S35/(F35*G35),"")</f>
        <v/>
      </c>
      <c r="U35" s="12">
        <f>IFERROR(I35*(1-R35/100),"")</f>
        <v/>
      </c>
      <c r="V35" s="12">
        <f>IFERROR(U35/(F35*G35),"")</f>
        <v/>
      </c>
      <c r="W35" t="inlineStr">
        <is>
          <t>https://www.bulk.com/fr/pure-whey-isolate-90.html</t>
        </is>
      </c>
      <c r="X35" t="inlineStr">
        <is>
          <t>Catalogue fictif majeur: 69.99€ barré vs 44.99€ réel (-36%)</t>
        </is>
      </c>
    </row>
    <row r="36">
      <c r="A36">
        <f>'Benchmark détaillé'!AJ1</f>
        <v/>
      </c>
      <c r="B36" t="inlineStr">
        <is>
          <t>Pure Whey Isolate 2,5kg</t>
        </is>
      </c>
      <c r="C36">
        <f>'Benchmark détaillé'!AJ4</f>
        <v/>
      </c>
      <c r="D36">
        <f>'Benchmark détaillé'!AJ10</f>
        <v/>
      </c>
      <c r="E36">
        <f>'Benchmark détaillé'!AJ5</f>
        <v/>
      </c>
      <c r="F36">
        <f>'Benchmark détaillé'!AJ15</f>
        <v/>
      </c>
      <c r="G36">
        <f>'Benchmark détaillé'!AJ13</f>
        <v/>
      </c>
      <c r="H36">
        <f>'Benchmark détaillé'!AJ21</f>
        <v/>
      </c>
      <c r="I36">
        <f>'Benchmark détaillé'!AJ22</f>
        <v/>
      </c>
      <c r="J36">
        <f>'Benchmark détaillé'!AJ23</f>
        <v/>
      </c>
      <c r="K36" s="12">
        <f>IFERROR((H36-I36)/H36*100,"")</f>
        <v/>
      </c>
      <c r="L36" s="12">
        <f>IFERROR((I36-J36)/I36*100,"")</f>
        <v/>
      </c>
      <c r="M36" s="12">
        <f>IFERROR(I36/(E36/1000),"")</f>
        <v/>
      </c>
      <c r="N36" s="12">
        <f>IFERROR(I36/(F36*G36),"")</f>
        <v/>
      </c>
      <c r="O36">
        <f>'Benchmark détaillé'!AJ31</f>
        <v/>
      </c>
      <c r="P36">
        <f>'Benchmark détaillé'!AJ32</f>
        <v/>
      </c>
      <c r="Q36" s="12">
        <f>IFERROR(VLOOKUP(A36,'Discounts par marque'!$A:$G,4,FALSE),0)</f>
        <v/>
      </c>
      <c r="R36" s="12">
        <f>IFERROR(VLOOKUP(A36,'Discounts par marque'!$A:$G,5,FALSE),0)</f>
        <v/>
      </c>
      <c r="S36" s="12">
        <f>IFERROR(I36*(1-Q36/100),"")</f>
        <v/>
      </c>
      <c r="T36" s="12">
        <f>IFERROR(S36/(F36*G36),"")</f>
        <v/>
      </c>
      <c r="U36" s="12">
        <f>IFERROR(I36*(1-R36/100),"")</f>
        <v/>
      </c>
      <c r="V36" s="12">
        <f>IFERROR(U36/(F36*G36),"")</f>
        <v/>
      </c>
      <c r="W36" t="inlineStr">
        <is>
          <t>https://www.bulk.com/fr/pure-whey-isolate-90.html</t>
        </is>
      </c>
      <c r="X36" t="inlineStr">
        <is>
          <t>Catalogue fictif fort: 159.99€ vs 99.99€ réel (-37%)</t>
        </is>
      </c>
    </row>
    <row r="37">
      <c r="A37">
        <f>'Benchmark détaillé'!AK1</f>
        <v/>
      </c>
      <c r="B37" t="inlineStr">
        <is>
          <t>Pure Whey Protein 1kg</t>
        </is>
      </c>
      <c r="C37">
        <f>'Benchmark détaillé'!AK4</f>
        <v/>
      </c>
      <c r="D37">
        <f>'Benchmark détaillé'!AK10</f>
        <v/>
      </c>
      <c r="E37">
        <f>'Benchmark détaillé'!AK5</f>
        <v/>
      </c>
      <c r="F37">
        <f>'Benchmark détaillé'!AK15</f>
        <v/>
      </c>
      <c r="G37">
        <f>'Benchmark détaillé'!AK13</f>
        <v/>
      </c>
      <c r="H37">
        <f>'Benchmark détaillé'!AK21</f>
        <v/>
      </c>
      <c r="I37">
        <f>'Benchmark détaillé'!AK22</f>
        <v/>
      </c>
      <c r="J37">
        <f>'Benchmark détaillé'!AK23</f>
        <v/>
      </c>
      <c r="K37" s="12">
        <f>IFERROR((H37-I37)/H37*100,"")</f>
        <v/>
      </c>
      <c r="L37" s="12">
        <f>IFERROR((I37-J37)/I37*100,"")</f>
        <v/>
      </c>
      <c r="M37" s="12">
        <f>IFERROR(I37/(E37/1000),"")</f>
        <v/>
      </c>
      <c r="N37" s="12">
        <f>IFERROR(I37/(F37*G37),"")</f>
        <v/>
      </c>
      <c r="O37">
        <f>'Benchmark détaillé'!AK31</f>
        <v/>
      </c>
      <c r="P37">
        <f>'Benchmark détaillé'!AK32</f>
        <v/>
      </c>
      <c r="Q37" s="12">
        <f>IFERROR(VLOOKUP(A37,'Discounts par marque'!$A:$G,4,FALSE),0)</f>
        <v/>
      </c>
      <c r="R37" s="12">
        <f>IFERROR(VLOOKUP(A37,'Discounts par marque'!$A:$G,5,FALSE),0)</f>
        <v/>
      </c>
      <c r="S37" s="12">
        <f>IFERROR(I37*(1-Q37/100),"")</f>
        <v/>
      </c>
      <c r="T37" s="12">
        <f>IFERROR(S37/(F37*G37),"")</f>
        <v/>
      </c>
      <c r="U37" s="12">
        <f>IFERROR(I37*(1-R37/100),"")</f>
        <v/>
      </c>
      <c r="V37" s="12">
        <f>IFERROR(U37/(F37*G37),"")</f>
        <v/>
      </c>
      <c r="W37" t="inlineStr">
        <is>
          <t>https://www.bulk.com/fr/pure-whey-protein-1.html</t>
        </is>
      </c>
      <c r="X37" t="inlineStr">
        <is>
          <t>Catalogue partiellement fictif: barré 37.99€ vs current 27.99€ vs marché 23.99€</t>
        </is>
      </c>
    </row>
    <row r="38">
      <c r="A38">
        <f>'Benchmark détaillé'!AL1</f>
        <v/>
      </c>
      <c r="B38" t="inlineStr">
        <is>
          <t>Pure Whey Protein 2,5kg</t>
        </is>
      </c>
      <c r="C38">
        <f>'Benchmark détaillé'!AL4</f>
        <v/>
      </c>
      <c r="D38">
        <f>'Benchmark détaillé'!AL10</f>
        <v/>
      </c>
      <c r="E38">
        <f>'Benchmark détaillé'!AL5</f>
        <v/>
      </c>
      <c r="F38">
        <f>'Benchmark détaillé'!AL15</f>
        <v/>
      </c>
      <c r="G38">
        <f>'Benchmark détaillé'!AL13</f>
        <v/>
      </c>
      <c r="H38">
        <f>'Benchmark détaillé'!AL21</f>
        <v/>
      </c>
      <c r="I38">
        <f>'Benchmark détaillé'!AL22</f>
        <v/>
      </c>
      <c r="J38">
        <f>'Benchmark détaillé'!AL23</f>
        <v/>
      </c>
      <c r="K38" s="12">
        <f>IFERROR((H38-I38)/H38*100,"")</f>
        <v/>
      </c>
      <c r="L38" s="12">
        <f>IFERROR((I38-J38)/I38*100,"")</f>
        <v/>
      </c>
      <c r="M38" s="12">
        <f>IFERROR(I38/(E38/1000),"")</f>
        <v/>
      </c>
      <c r="N38" s="12">
        <f>IFERROR(I38/(F38*G38),"")</f>
        <v/>
      </c>
      <c r="O38">
        <f>'Benchmark détaillé'!AL31</f>
        <v/>
      </c>
      <c r="P38">
        <f>'Benchmark détaillé'!AL32</f>
        <v/>
      </c>
      <c r="Q38" s="12">
        <f>IFERROR(VLOOKUP(A38,'Discounts par marque'!$A:$G,4,FALSE),0)</f>
        <v/>
      </c>
      <c r="R38" s="12">
        <f>IFERROR(VLOOKUP(A38,'Discounts par marque'!$A:$G,5,FALSE),0)</f>
        <v/>
      </c>
      <c r="S38" s="12">
        <f>IFERROR(I38*(1-Q38/100),"")</f>
        <v/>
      </c>
      <c r="T38" s="12">
        <f>IFERROR(S38/(F38*G38),"")</f>
        <v/>
      </c>
      <c r="U38" s="12">
        <f>IFERROR(I38*(1-R38/100),"")</f>
        <v/>
      </c>
      <c r="V38" s="12">
        <f>IFERROR(U38/(F38*G38),"")</f>
        <v/>
      </c>
      <c r="W38" t="inlineStr">
        <is>
          <t>https://www.bulk.com/fr/pure-whey-protein-1.html</t>
        </is>
      </c>
      <c r="X38" t="inlineStr">
        <is>
          <t>Catalogue fictif: 84.99€ barré vs 64.99€ réel (-23%)</t>
        </is>
      </c>
    </row>
    <row r="39">
      <c r="A39">
        <f>'Benchmark détaillé'!AM1</f>
        <v/>
      </c>
      <c r="B39" t="inlineStr">
        <is>
          <t>Pure Whey Protein 5kg</t>
        </is>
      </c>
      <c r="C39">
        <f>'Benchmark détaillé'!AM4</f>
        <v/>
      </c>
      <c r="D39">
        <f>'Benchmark détaillé'!AM10</f>
        <v/>
      </c>
      <c r="E39">
        <f>'Benchmark détaillé'!AM5</f>
        <v/>
      </c>
      <c r="F39">
        <f>'Benchmark détaillé'!AM15</f>
        <v/>
      </c>
      <c r="G39">
        <f>'Benchmark détaillé'!AM13</f>
        <v/>
      </c>
      <c r="H39">
        <f>'Benchmark détaillé'!AM21</f>
        <v/>
      </c>
      <c r="I39">
        <f>'Benchmark détaillé'!AM22</f>
        <v/>
      </c>
      <c r="J39">
        <f>'Benchmark détaillé'!AM23</f>
        <v/>
      </c>
      <c r="K39" s="12">
        <f>IFERROR((H39-I39)/H39*100,"")</f>
        <v/>
      </c>
      <c r="L39" s="12">
        <f>IFERROR((I39-J39)/I39*100,"")</f>
        <v/>
      </c>
      <c r="M39" s="12">
        <f>IFERROR(I39/(E39/1000),"")</f>
        <v/>
      </c>
      <c r="N39" s="12">
        <f>IFERROR(I39/(F39*G39),"")</f>
        <v/>
      </c>
      <c r="O39">
        <f>'Benchmark détaillé'!AM31</f>
        <v/>
      </c>
      <c r="P39">
        <f>'Benchmark détaillé'!AM32</f>
        <v/>
      </c>
      <c r="Q39" s="12">
        <f>IFERROR(VLOOKUP(A39,'Discounts par marque'!$A:$G,4,FALSE),0)</f>
        <v/>
      </c>
      <c r="R39" s="12">
        <f>IFERROR(VLOOKUP(A39,'Discounts par marque'!$A:$G,5,FALSE),0)</f>
        <v/>
      </c>
      <c r="S39" s="12">
        <f>IFERROR(I39*(1-Q39/100),"")</f>
        <v/>
      </c>
      <c r="T39" s="12">
        <f>IFERROR(S39/(F39*G39),"")</f>
        <v/>
      </c>
      <c r="U39" s="12">
        <f>IFERROR(I39*(1-R39/100),"")</f>
        <v/>
      </c>
      <c r="V39" s="12">
        <f>IFERROR(U39/(F39*G39),"")</f>
        <v/>
      </c>
      <c r="W39" t="inlineStr">
        <is>
          <t>https://www.bulk.com/fr/pure-whey-protein-1.html</t>
        </is>
      </c>
      <c r="X39" t="inlineStr">
        <is>
          <t>Catalogue fictif: 159.99€ vs 129.99€ payé (-19%)</t>
        </is>
      </c>
    </row>
    <row r="40">
      <c r="A40">
        <f>'Benchmark détaillé'!AN1</f>
        <v/>
      </c>
      <c r="B40" t="inlineStr">
        <is>
          <t>Clear Whey Isolate 500g</t>
        </is>
      </c>
      <c r="C40">
        <f>'Benchmark détaillé'!AN4</f>
        <v/>
      </c>
      <c r="D40">
        <f>'Benchmark détaillé'!AN10</f>
        <v/>
      </c>
      <c r="E40">
        <f>'Benchmark détaillé'!AN5</f>
        <v/>
      </c>
      <c r="F40">
        <f>'Benchmark détaillé'!AN15</f>
        <v/>
      </c>
      <c r="G40">
        <f>'Benchmark détaillé'!AN13</f>
        <v/>
      </c>
      <c r="H40">
        <f>'Benchmark détaillé'!AN21</f>
        <v/>
      </c>
      <c r="I40">
        <f>'Benchmark détaillé'!AN22</f>
        <v/>
      </c>
      <c r="J40">
        <f>'Benchmark détaillé'!AN23</f>
        <v/>
      </c>
      <c r="K40" s="12">
        <f>IFERROR((H40-I40)/H40*100,"")</f>
        <v/>
      </c>
      <c r="L40" s="12">
        <f>IFERROR((I40-J40)/I40*100,"")</f>
        <v/>
      </c>
      <c r="M40" s="12">
        <f>IFERROR(I40/(E40/1000),"")</f>
        <v/>
      </c>
      <c r="N40" s="12">
        <f>IFERROR(I40/(F40*G40),"")</f>
        <v/>
      </c>
      <c r="O40">
        <f>'Benchmark détaillé'!AN31</f>
        <v/>
      </c>
      <c r="P40">
        <f>'Benchmark détaillé'!AN32</f>
        <v/>
      </c>
      <c r="Q40" s="12">
        <f>IFERROR(VLOOKUP(A40,'Discounts par marque'!$A:$G,4,FALSE),0)</f>
        <v/>
      </c>
      <c r="R40" s="12">
        <f>IFERROR(VLOOKUP(A40,'Discounts par marque'!$A:$G,5,FALSE),0)</f>
        <v/>
      </c>
      <c r="S40" s="12">
        <f>IFERROR(I40*(1-Q40/100),"")</f>
        <v/>
      </c>
      <c r="T40" s="12">
        <f>IFERROR(S40/(F40*G40),"")</f>
        <v/>
      </c>
      <c r="U40" s="12">
        <f>IFERROR(I40*(1-R40/100),"")</f>
        <v/>
      </c>
      <c r="V40" s="12">
        <f>IFERROR(U40/(F40*G40),"")</f>
        <v/>
      </c>
      <c r="W40" t="inlineStr">
        <is>
          <t>https://www.bulk.com/fr/clear-whey-isolate.html</t>
        </is>
      </c>
      <c r="X40" t="inlineStr">
        <is>
          <t>Catalogue 31.49€ barré vs 25.99€ payé (-17%). Marché 22.25€</t>
        </is>
      </c>
    </row>
    <row r="41">
      <c r="A41">
        <f>'Benchmark détaillé'!AO1</f>
        <v/>
      </c>
      <c r="B41" t="inlineStr">
        <is>
          <t>Impact Whey Isolate 1kg</t>
        </is>
      </c>
      <c r="C41">
        <f>'Benchmark détaillé'!AO4</f>
        <v/>
      </c>
      <c r="D41">
        <f>'Benchmark détaillé'!AO10</f>
        <v/>
      </c>
      <c r="E41">
        <f>'Benchmark détaillé'!AO5</f>
        <v/>
      </c>
      <c r="F41">
        <f>'Benchmark détaillé'!AO15</f>
        <v/>
      </c>
      <c r="G41">
        <f>'Benchmark détaillé'!AO13</f>
        <v/>
      </c>
      <c r="H41">
        <f>'Benchmark détaillé'!AO21</f>
        <v/>
      </c>
      <c r="I41">
        <f>'Benchmark détaillé'!AO22</f>
        <v/>
      </c>
      <c r="J41">
        <f>'Benchmark détaillé'!AO23</f>
        <v/>
      </c>
      <c r="K41" s="12">
        <f>IFERROR((H41-I41)/H41*100,"")</f>
        <v/>
      </c>
      <c r="L41" s="12">
        <f>IFERROR((I41-J41)/I41*100,"")</f>
        <v/>
      </c>
      <c r="M41" s="12">
        <f>IFERROR(I41/(E41/1000),"")</f>
        <v/>
      </c>
      <c r="N41" s="12">
        <f>IFERROR(I41/(F41*G41),"")</f>
        <v/>
      </c>
      <c r="O41">
        <f>'Benchmark détaillé'!AO31</f>
        <v/>
      </c>
      <c r="P41">
        <f>'Benchmark détaillé'!AO32</f>
        <v/>
      </c>
      <c r="Q41" s="12">
        <f>IFERROR(VLOOKUP(A41,'Discounts par marque'!$A:$G,4,FALSE),0)</f>
        <v/>
      </c>
      <c r="R41" s="12">
        <f>IFERROR(VLOOKUP(A41,'Discounts par marque'!$A:$G,5,FALSE),0)</f>
        <v/>
      </c>
      <c r="S41" s="12">
        <f>IFERROR(I41*(1-Q41/100),"")</f>
        <v/>
      </c>
      <c r="T41" s="12">
        <f>IFERROR(S41/(F41*G41),"")</f>
        <v/>
      </c>
      <c r="U41" s="12">
        <f>IFERROR(I41*(1-R41/100),"")</f>
        <v/>
      </c>
      <c r="V41" s="12">
        <f>IFERROR(U41/(F41*G41),"")</f>
        <v/>
      </c>
      <c r="W41" t="inlineStr">
        <is>
          <t>https://fr.myprotein.com/p/nutrition-sportive/impact-whey-isolate/10852482/</t>
        </is>
      </c>
      <c r="X41" t="inlineStr">
        <is>
          <t>Isolate EXCLU de la promo -30% MyProtein. Prix current = prix nominal (pas de discount automatique). Revert de l'ancienne estimation ×0.7.</t>
        </is>
      </c>
    </row>
    <row r="42">
      <c r="A42">
        <f>'Benchmark détaillé'!AP1</f>
        <v/>
      </c>
      <c r="B42" t="inlineStr">
        <is>
          <t>Impact Whey Isolate 2,5kg</t>
        </is>
      </c>
      <c r="C42">
        <f>'Benchmark détaillé'!AP4</f>
        <v/>
      </c>
      <c r="D42">
        <f>'Benchmark détaillé'!AP10</f>
        <v/>
      </c>
      <c r="E42">
        <f>'Benchmark détaillé'!AP5</f>
        <v/>
      </c>
      <c r="F42">
        <f>'Benchmark détaillé'!AP15</f>
        <v/>
      </c>
      <c r="G42">
        <f>'Benchmark détaillé'!AP13</f>
        <v/>
      </c>
      <c r="H42">
        <f>'Benchmark détaillé'!AP21</f>
        <v/>
      </c>
      <c r="I42">
        <f>'Benchmark détaillé'!AP22</f>
        <v/>
      </c>
      <c r="J42">
        <f>'Benchmark détaillé'!AP23</f>
        <v/>
      </c>
      <c r="K42" s="12">
        <f>IFERROR((H42-I42)/H42*100,"")</f>
        <v/>
      </c>
      <c r="L42" s="12">
        <f>IFERROR((I42-J42)/I42*100,"")</f>
        <v/>
      </c>
      <c r="M42" s="12">
        <f>IFERROR(I42/(E42/1000),"")</f>
        <v/>
      </c>
      <c r="N42" s="12">
        <f>IFERROR(I42/(F42*G42),"")</f>
        <v/>
      </c>
      <c r="O42">
        <f>'Benchmark détaillé'!AP31</f>
        <v/>
      </c>
      <c r="P42">
        <f>'Benchmark détaillé'!AP32</f>
        <v/>
      </c>
      <c r="Q42" s="12">
        <f>IFERROR(VLOOKUP(A42,'Discounts par marque'!$A:$G,4,FALSE),0)</f>
        <v/>
      </c>
      <c r="R42" s="12">
        <f>IFERROR(VLOOKUP(A42,'Discounts par marque'!$A:$G,5,FALSE),0)</f>
        <v/>
      </c>
      <c r="S42" s="12">
        <f>IFERROR(I42*(1-Q42/100),"")</f>
        <v/>
      </c>
      <c r="T42" s="12">
        <f>IFERROR(S42/(F42*G42),"")</f>
        <v/>
      </c>
      <c r="U42" s="12">
        <f>IFERROR(I42*(1-R42/100),"")</f>
        <v/>
      </c>
      <c r="V42" s="12">
        <f>IFERROR(U42/(F42*G42),"")</f>
        <v/>
      </c>
      <c r="W42" t="inlineStr">
        <is>
          <t>https://fr.myprotein.com/p/nutrition-sportive/impact-whey-isolate-framboise-poche-2.5-kg/10530927/</t>
        </is>
      </c>
      <c r="X42" t="inlineStr">
        <is>
          <t>Confirmé via variant Framboise 2.5kg (10530927) : 124.99€ affiché sans strikethrough. Isolate exclu de la promo -30%.</t>
        </is>
      </c>
    </row>
    <row r="43">
      <c r="A43">
        <f>'Benchmark détaillé'!AQ1</f>
        <v/>
      </c>
      <c r="B43" t="inlineStr">
        <is>
          <t>Impact Whey Protein 1kg</t>
        </is>
      </c>
      <c r="C43">
        <f>'Benchmark détaillé'!AQ4</f>
        <v/>
      </c>
      <c r="D43">
        <f>'Benchmark détaillé'!AQ10</f>
        <v/>
      </c>
      <c r="E43">
        <f>'Benchmark détaillé'!AQ5</f>
        <v/>
      </c>
      <c r="F43">
        <f>'Benchmark détaillé'!AQ15</f>
        <v/>
      </c>
      <c r="G43">
        <f>'Benchmark détaillé'!AQ13</f>
        <v/>
      </c>
      <c r="H43">
        <f>'Benchmark détaillé'!AQ21</f>
        <v/>
      </c>
      <c r="I43">
        <f>'Benchmark détaillé'!AQ22</f>
        <v/>
      </c>
      <c r="J43">
        <f>'Benchmark détaillé'!AQ23</f>
        <v/>
      </c>
      <c r="K43" s="12">
        <f>IFERROR((H43-I43)/H43*100,"")</f>
        <v/>
      </c>
      <c r="L43" s="12">
        <f>IFERROR((I43-J43)/I43*100,"")</f>
        <v/>
      </c>
      <c r="M43" s="12">
        <f>IFERROR(I43/(E43/1000),"")</f>
        <v/>
      </c>
      <c r="N43" s="12">
        <f>IFERROR(I43/(F43*G43),"")</f>
        <v/>
      </c>
      <c r="O43">
        <f>'Benchmark détaillé'!AQ31</f>
        <v/>
      </c>
      <c r="P43">
        <f>'Benchmark détaillé'!AQ32</f>
        <v/>
      </c>
      <c r="Q43" s="12">
        <f>IFERROR(VLOOKUP(A43,'Discounts par marque'!$A:$G,4,FALSE),0)</f>
        <v/>
      </c>
      <c r="R43" s="12">
        <f>IFERROR(VLOOKUP(A43,'Discounts par marque'!$A:$G,5,FALSE),0)</f>
        <v/>
      </c>
      <c r="S43" s="12">
        <f>IFERROR(I43*(1-Q43/100),"")</f>
        <v/>
      </c>
      <c r="T43" s="12">
        <f>IFERROR(S43/(F43*G43),"")</f>
        <v/>
      </c>
      <c r="U43" s="12">
        <f>IFERROR(I43*(1-R43/100),"")</f>
        <v/>
      </c>
      <c r="V43" s="12">
        <f>IFERROR(U43/(F43*G43),"")</f>
        <v/>
      </c>
      <c r="W43" t="inlineStr">
        <is>
          <t>https://fr.myprotein.com/p/nutrition-sportive/myprotein-impact-whey-protein-chocolate-1kg/11068071/</t>
        </is>
      </c>
      <c r="X43" t="inlineStr">
        <is>
          <t>Prix actuel = 17.99€ sur fr.myprotein.com/.../11068071/ (scraped Playwright 2026-04-14). Promo site -30% + extra app ramène à 17.99 vs 41.99 nominal (soit -57%). Pattern MyProtein Whey Protein uniquement.</t>
        </is>
      </c>
    </row>
    <row r="44">
      <c r="A44">
        <f>'Benchmark détaillé'!AR1</f>
        <v/>
      </c>
      <c r="B44" t="inlineStr">
        <is>
          <t>Impact Whey Protein 2,5kg</t>
        </is>
      </c>
      <c r="C44">
        <f>'Benchmark détaillé'!AR4</f>
        <v/>
      </c>
      <c r="D44">
        <f>'Benchmark détaillé'!AR10</f>
        <v/>
      </c>
      <c r="E44">
        <f>'Benchmark détaillé'!AR5</f>
        <v/>
      </c>
      <c r="F44">
        <f>'Benchmark détaillé'!AR15</f>
        <v/>
      </c>
      <c r="G44">
        <f>'Benchmark détaillé'!AR13</f>
        <v/>
      </c>
      <c r="H44">
        <f>'Benchmark détaillé'!AR21</f>
        <v/>
      </c>
      <c r="I44">
        <f>'Benchmark détaillé'!AR22</f>
        <v/>
      </c>
      <c r="J44">
        <f>'Benchmark détaillé'!AR23</f>
        <v/>
      </c>
      <c r="K44" s="12">
        <f>IFERROR((H44-I44)/H44*100,"")</f>
        <v/>
      </c>
      <c r="L44" s="12">
        <f>IFERROR((I44-J44)/I44*100,"")</f>
        <v/>
      </c>
      <c r="M44" s="12">
        <f>IFERROR(I44/(E44/1000),"")</f>
        <v/>
      </c>
      <c r="N44" s="12">
        <f>IFERROR(I44/(F44*G44),"")</f>
        <v/>
      </c>
      <c r="O44">
        <f>'Benchmark détaillé'!AR31</f>
        <v/>
      </c>
      <c r="P44">
        <f>'Benchmark détaillé'!AR32</f>
        <v/>
      </c>
      <c r="Q44" s="12">
        <f>IFERROR(VLOOKUP(A44,'Discounts par marque'!$A:$G,4,FALSE),0)</f>
        <v/>
      </c>
      <c r="R44" s="12">
        <f>IFERROR(VLOOKUP(A44,'Discounts par marque'!$A:$G,5,FALSE),0)</f>
        <v/>
      </c>
      <c r="S44" s="12">
        <f>IFERROR(I44*(1-Q44/100),"")</f>
        <v/>
      </c>
      <c r="T44" s="12">
        <f>IFERROR(S44/(F44*G44),"")</f>
        <v/>
      </c>
      <c r="U44" s="12">
        <f>IFERROR(I44*(1-R44/100),"")</f>
        <v/>
      </c>
      <c r="V44" s="12">
        <f>IFERROR(U44/(F44*G44),"")</f>
        <v/>
      </c>
      <c r="W44" t="inlineStr">
        <is>
          <t>https://fr.myprotein.com/p/nutrition-sportive/myprotein-impact-whey-protein-chocolate-nut-2.5kg/10530969/</t>
        </is>
      </c>
      <c r="X44" t="inlineStr">
        <is>
          <t>Prix scrapé via variant Chocolate Nut 2.5kg (10530969) : 84.99€ barré / 40.99€ actuel. Promo -52%. Playwright 2026-04-14.</t>
        </is>
      </c>
    </row>
    <row r="45">
      <c r="A45">
        <f>'Benchmark détaillé'!AS1</f>
        <v/>
      </c>
      <c r="B45" t="inlineStr">
        <is>
          <t>Impact Whey Protein 5kg (Sans arôme)</t>
        </is>
      </c>
      <c r="C45">
        <f>'Benchmark détaillé'!AS4</f>
        <v/>
      </c>
      <c r="D45">
        <f>'Benchmark détaillé'!AS10</f>
        <v/>
      </c>
      <c r="E45">
        <f>'Benchmark détaillé'!AS5</f>
        <v/>
      </c>
      <c r="F45">
        <f>'Benchmark détaillé'!AS15</f>
        <v/>
      </c>
      <c r="G45">
        <f>'Benchmark détaillé'!AS13</f>
        <v/>
      </c>
      <c r="H45">
        <f>'Benchmark détaillé'!AS21</f>
        <v/>
      </c>
      <c r="I45">
        <f>'Benchmark détaillé'!AS22</f>
        <v/>
      </c>
      <c r="J45">
        <f>'Benchmark détaillé'!AS23</f>
        <v/>
      </c>
      <c r="K45" s="12">
        <f>IFERROR((H45-I45)/H45*100,"")</f>
        <v/>
      </c>
      <c r="L45" s="12">
        <f>IFERROR((I45-J45)/I45*100,"")</f>
        <v/>
      </c>
      <c r="M45" s="12">
        <f>IFERROR(I45/(E45/1000),"")</f>
        <v/>
      </c>
      <c r="N45" s="12">
        <f>IFERROR(I45/(F45*G45),"")</f>
        <v/>
      </c>
      <c r="O45">
        <f>'Benchmark détaillé'!AS31</f>
        <v/>
      </c>
      <c r="P45">
        <f>'Benchmark détaillé'!AS32</f>
        <v/>
      </c>
      <c r="Q45" s="12">
        <f>IFERROR(VLOOKUP(A45,'Discounts par marque'!$A:$G,4,FALSE),0)</f>
        <v/>
      </c>
      <c r="R45" s="12">
        <f>IFERROR(VLOOKUP(A45,'Discounts par marque'!$A:$G,5,FALSE),0)</f>
        <v/>
      </c>
      <c r="S45" s="12">
        <f>IFERROR(I45*(1-Q45/100),"")</f>
        <v/>
      </c>
      <c r="T45" s="12">
        <f>IFERROR(S45/(F45*G45),"")</f>
        <v/>
      </c>
      <c r="U45" s="12">
        <f>IFERROR(I45*(1-R45/100),"")</f>
        <v/>
      </c>
      <c r="V45" s="12">
        <f>IFERROR(U45/(F45*G45),"")</f>
        <v/>
      </c>
      <c r="W45" t="inlineStr">
        <is>
          <t>https://fr.myprotein.com/p/nutrition-sportive/impact-whey-protein/10530943/</t>
        </is>
      </c>
      <c r="X45" t="inlineStr">
        <is>
          <t>5kg n'existe qu'en 'Sans arôme' (chocolat inexistant). Current price = extrapolation du ratio 2.5kg (40.99/84.99=0.482) : 188.99 × 0.482 ≈ 91.10€.</t>
        </is>
      </c>
    </row>
    <row r="46">
      <c r="A46">
        <f>'Benchmark détaillé'!AT1</f>
        <v/>
      </c>
      <c r="B46" t="inlineStr">
        <is>
          <t>Clear Whey Isolate 875g</t>
        </is>
      </c>
      <c r="C46">
        <f>'Benchmark détaillé'!AT4</f>
        <v/>
      </c>
      <c r="D46">
        <f>'Benchmark détaillé'!AT10</f>
        <v/>
      </c>
      <c r="E46">
        <f>'Benchmark détaillé'!AT5</f>
        <v/>
      </c>
      <c r="F46">
        <f>'Benchmark détaillé'!AT15</f>
        <v/>
      </c>
      <c r="G46">
        <f>'Benchmark détaillé'!AT13</f>
        <v/>
      </c>
      <c r="H46">
        <f>'Benchmark détaillé'!AT21</f>
        <v/>
      </c>
      <c r="I46">
        <f>'Benchmark détaillé'!AT22</f>
        <v/>
      </c>
      <c r="J46">
        <f>'Benchmark détaillé'!AT23</f>
        <v/>
      </c>
      <c r="K46" s="12">
        <f>IFERROR((H46-I46)/H46*100,"")</f>
        <v/>
      </c>
      <c r="L46" s="12">
        <f>IFERROR((I46-J46)/I46*100,"")</f>
        <v/>
      </c>
      <c r="M46" s="12">
        <f>IFERROR(I46/(E46/1000),"")</f>
        <v/>
      </c>
      <c r="N46" s="12">
        <f>IFERROR(I46/(F46*G46),"")</f>
        <v/>
      </c>
      <c r="O46">
        <f>'Benchmark détaillé'!AT31</f>
        <v/>
      </c>
      <c r="P46">
        <f>'Benchmark détaillé'!AT32</f>
        <v/>
      </c>
      <c r="Q46" s="12">
        <f>IFERROR(VLOOKUP(A46,'Discounts par marque'!$A:$G,4,FALSE),0)</f>
        <v/>
      </c>
      <c r="R46" s="12">
        <f>IFERROR(VLOOKUP(A46,'Discounts par marque'!$A:$G,5,FALSE),0)</f>
        <v/>
      </c>
      <c r="S46" s="12">
        <f>IFERROR(I46*(1-Q46/100),"")</f>
        <v/>
      </c>
      <c r="T46" s="12">
        <f>IFERROR(S46/(F46*G46),"")</f>
        <v/>
      </c>
      <c r="U46" s="12">
        <f>IFERROR(I46*(1-R46/100),"")</f>
        <v/>
      </c>
      <c r="V46" s="12">
        <f>IFERROR(U46/(F46*G46),"")</f>
        <v/>
      </c>
      <c r="W46" t="inlineStr">
        <is>
          <t>https://fr.myprotein.com/p/nutrition-sportive/clear-whey-isolate/12081395/</t>
        </is>
      </c>
      <c r="X46" t="inlineStr">
        <is>
          <t>Clear Whey exclu de la promo -30% (mention explicite). Format 875g max (pas de 1kg). Confirmé via scraping 12081395.</t>
        </is>
      </c>
    </row>
    <row r="47">
      <c r="A47">
        <f>'Benchmark détaillé'!AU1</f>
        <v/>
      </c>
      <c r="B47" t="inlineStr">
        <is>
          <t>Iso Whey Zero 908g</t>
        </is>
      </c>
      <c r="C47">
        <f>'Benchmark détaillé'!AU4</f>
        <v/>
      </c>
      <c r="D47">
        <f>'Benchmark détaillé'!AU10</f>
        <v/>
      </c>
      <c r="E47">
        <f>'Benchmark détaillé'!AU5</f>
        <v/>
      </c>
      <c r="F47">
        <f>'Benchmark détaillé'!AU15</f>
        <v/>
      </c>
      <c r="G47">
        <f>'Benchmark détaillé'!AU13</f>
        <v/>
      </c>
      <c r="H47">
        <f>'Benchmark détaillé'!AU21</f>
        <v/>
      </c>
      <c r="I47">
        <f>'Benchmark détaillé'!AU22</f>
        <v/>
      </c>
      <c r="J47">
        <f>'Benchmark détaillé'!AU23</f>
        <v/>
      </c>
      <c r="K47" s="12">
        <f>IFERROR((H47-I47)/H47*100,"")</f>
        <v/>
      </c>
      <c r="L47" s="12">
        <f>IFERROR((I47-J47)/I47*100,"")</f>
        <v/>
      </c>
      <c r="M47" s="12">
        <f>IFERROR(I47/(E47/1000),"")</f>
        <v/>
      </c>
      <c r="N47" s="12">
        <f>IFERROR(I47/(F47*G47),"")</f>
        <v/>
      </c>
      <c r="O47">
        <f>'Benchmark détaillé'!AU31</f>
        <v/>
      </c>
      <c r="P47">
        <f>'Benchmark détaillé'!AU32</f>
        <v/>
      </c>
      <c r="Q47" s="12">
        <f>IFERROR(VLOOKUP(A47,'Discounts par marque'!$A:$G,4,FALSE),0)</f>
        <v/>
      </c>
      <c r="R47" s="12">
        <f>IFERROR(VLOOKUP(A47,'Discounts par marque'!$A:$G,5,FALSE),0)</f>
        <v/>
      </c>
      <c r="S47" s="12">
        <f>IFERROR(I47*(1-Q47/100),"")</f>
        <v/>
      </c>
      <c r="T47" s="12">
        <f>IFERROR(S47/(F47*G47),"")</f>
        <v/>
      </c>
      <c r="U47" s="12">
        <f>IFERROR(I47*(1-R47/100),"")</f>
        <v/>
      </c>
      <c r="V47" s="12">
        <f>IFERROR(U47/(F47*G47),"")</f>
        <v/>
      </c>
      <c r="W47" t="inlineStr">
        <is>
          <t>https://shop.biotechusa.fr/products/iso-whey-zero-908-g</t>
        </is>
      </c>
    </row>
    <row r="48">
      <c r="A48">
        <f>'Benchmark détaillé'!AV1</f>
        <v/>
      </c>
      <c r="B48" t="inlineStr">
        <is>
          <t>Iso Whey Zero 1816g</t>
        </is>
      </c>
      <c r="C48">
        <f>'Benchmark détaillé'!AV4</f>
        <v/>
      </c>
      <c r="D48">
        <f>'Benchmark détaillé'!AV10</f>
        <v/>
      </c>
      <c r="E48">
        <f>'Benchmark détaillé'!AV5</f>
        <v/>
      </c>
      <c r="F48">
        <f>'Benchmark détaillé'!AV15</f>
        <v/>
      </c>
      <c r="G48">
        <f>'Benchmark détaillé'!AV13</f>
        <v/>
      </c>
      <c r="H48">
        <f>'Benchmark détaillé'!AV21</f>
        <v/>
      </c>
      <c r="I48">
        <f>'Benchmark détaillé'!AV22</f>
        <v/>
      </c>
      <c r="J48">
        <f>'Benchmark détaillé'!AV23</f>
        <v/>
      </c>
      <c r="K48" s="12">
        <f>IFERROR((H48-I48)/H48*100,"")</f>
        <v/>
      </c>
      <c r="L48" s="12">
        <f>IFERROR((I48-J48)/I48*100,"")</f>
        <v/>
      </c>
      <c r="M48" s="12">
        <f>IFERROR(I48/(E48/1000),"")</f>
        <v/>
      </c>
      <c r="N48" s="12">
        <f>IFERROR(I48/(F48*G48),"")</f>
        <v/>
      </c>
      <c r="O48">
        <f>'Benchmark détaillé'!AV31</f>
        <v/>
      </c>
      <c r="P48">
        <f>'Benchmark détaillé'!AV32</f>
        <v/>
      </c>
      <c r="Q48" s="12">
        <f>IFERROR(VLOOKUP(A48,'Discounts par marque'!$A:$G,4,FALSE),0)</f>
        <v/>
      </c>
      <c r="R48" s="12">
        <f>IFERROR(VLOOKUP(A48,'Discounts par marque'!$A:$G,5,FALSE),0)</f>
        <v/>
      </c>
      <c r="S48" s="12">
        <f>IFERROR(I48*(1-Q48/100),"")</f>
        <v/>
      </c>
      <c r="T48" s="12">
        <f>IFERROR(S48/(F48*G48),"")</f>
        <v/>
      </c>
      <c r="U48" s="12">
        <f>IFERROR(I48*(1-R48/100),"")</f>
        <v/>
      </c>
      <c r="V48" s="12">
        <f>IFERROR(U48/(F48*G48),"")</f>
        <v/>
      </c>
      <c r="W48" t="inlineStr">
        <is>
          <t>https://shop.biotechusa.fr/products/iso-whey-zero-poudre-de-proteine-isolat-1816-g</t>
        </is>
      </c>
    </row>
    <row r="49">
      <c r="A49">
        <f>'Benchmark détaillé'!AW1</f>
        <v/>
      </c>
      <c r="B49" t="inlineStr">
        <is>
          <t>100% Pure Whey 400g</t>
        </is>
      </c>
      <c r="C49">
        <f>'Benchmark détaillé'!AW4</f>
        <v/>
      </c>
      <c r="D49">
        <f>'Benchmark détaillé'!AW10</f>
        <v/>
      </c>
      <c r="E49">
        <f>'Benchmark détaillé'!AW5</f>
        <v/>
      </c>
      <c r="F49">
        <f>'Benchmark détaillé'!AW15</f>
        <v/>
      </c>
      <c r="G49">
        <f>'Benchmark détaillé'!AW13</f>
        <v/>
      </c>
      <c r="H49">
        <f>'Benchmark détaillé'!AW21</f>
        <v/>
      </c>
      <c r="I49">
        <f>'Benchmark détaillé'!AW22</f>
        <v/>
      </c>
      <c r="J49">
        <f>'Benchmark détaillé'!AW23</f>
        <v/>
      </c>
      <c r="K49" s="12">
        <f>IFERROR((H49-I49)/H49*100,"")</f>
        <v/>
      </c>
      <c r="L49" s="12">
        <f>IFERROR((I49-J49)/I49*100,"")</f>
        <v/>
      </c>
      <c r="M49" s="12">
        <f>IFERROR(I49/(E49/1000),"")</f>
        <v/>
      </c>
      <c r="N49" s="12">
        <f>IFERROR(I49/(F49*G49),"")</f>
        <v/>
      </c>
      <c r="O49">
        <f>'Benchmark détaillé'!AW31</f>
        <v/>
      </c>
      <c r="P49">
        <f>'Benchmark détaillé'!AW32</f>
        <v/>
      </c>
      <c r="Q49" s="12">
        <f>IFERROR(VLOOKUP(A49,'Discounts par marque'!$A:$G,4,FALSE),0)</f>
        <v/>
      </c>
      <c r="R49" s="12">
        <f>IFERROR(VLOOKUP(A49,'Discounts par marque'!$A:$G,5,FALSE),0)</f>
        <v/>
      </c>
      <c r="S49" s="12">
        <f>IFERROR(I49*(1-Q49/100),"")</f>
        <v/>
      </c>
      <c r="T49" s="12">
        <f>IFERROR(S49/(F49*G49),"")</f>
        <v/>
      </c>
      <c r="U49" s="12">
        <f>IFERROR(I49*(1-R49/100),"")</f>
        <v/>
      </c>
      <c r="V49" s="12">
        <f>IFERROR(U49/(F49*G49),"")</f>
        <v/>
      </c>
      <c r="W49" t="inlineStr">
        <is>
          <t>https://shop.biotechusa.fr/products/100-pure-whey-400-g</t>
        </is>
      </c>
      <c r="X49" t="inlineStr">
        <is>
          <t>8.2€/100g vs 5.5€/100g sur format 1kg (petit format plus cher)</t>
        </is>
      </c>
    </row>
    <row r="50">
      <c r="A50">
        <f>'Benchmark détaillé'!AX1</f>
        <v/>
      </c>
      <c r="B50" t="inlineStr">
        <is>
          <t>100% Pure Whey 1000g</t>
        </is>
      </c>
      <c r="C50">
        <f>'Benchmark détaillé'!AX4</f>
        <v/>
      </c>
      <c r="D50">
        <f>'Benchmark détaillé'!AX10</f>
        <v/>
      </c>
      <c r="E50">
        <f>'Benchmark détaillé'!AX5</f>
        <v/>
      </c>
      <c r="F50">
        <f>'Benchmark détaillé'!AX15</f>
        <v/>
      </c>
      <c r="G50">
        <f>'Benchmark détaillé'!AX13</f>
        <v/>
      </c>
      <c r="H50">
        <f>'Benchmark détaillé'!AX21</f>
        <v/>
      </c>
      <c r="I50">
        <f>'Benchmark détaillé'!AX22</f>
        <v/>
      </c>
      <c r="J50">
        <f>'Benchmark détaillé'!AX23</f>
        <v/>
      </c>
      <c r="K50" s="12">
        <f>IFERROR((H50-I50)/H50*100,"")</f>
        <v/>
      </c>
      <c r="L50" s="12">
        <f>IFERROR((I50-J50)/I50*100,"")</f>
        <v/>
      </c>
      <c r="M50" s="12">
        <f>IFERROR(I50/(E50/1000),"")</f>
        <v/>
      </c>
      <c r="N50" s="12">
        <f>IFERROR(I50/(F50*G50),"")</f>
        <v/>
      </c>
      <c r="O50">
        <f>'Benchmark détaillé'!AX31</f>
        <v/>
      </c>
      <c r="P50">
        <f>'Benchmark détaillé'!AX32</f>
        <v/>
      </c>
      <c r="Q50" s="12">
        <f>IFERROR(VLOOKUP(A50,'Discounts par marque'!$A:$G,4,FALSE),0)</f>
        <v/>
      </c>
      <c r="R50" s="12">
        <f>IFERROR(VLOOKUP(A50,'Discounts par marque'!$A:$G,5,FALSE),0)</f>
        <v/>
      </c>
      <c r="S50" s="12">
        <f>IFERROR(I50*(1-Q50/100),"")</f>
        <v/>
      </c>
      <c r="T50" s="12">
        <f>IFERROR(S50/(F50*G50),"")</f>
        <v/>
      </c>
      <c r="U50" s="12">
        <f>IFERROR(I50*(1-R50/100),"")</f>
        <v/>
      </c>
      <c r="V50" s="12">
        <f>IFERROR(U50/(F50*G50),"")</f>
        <v/>
      </c>
      <c r="W50" t="inlineStr">
        <is>
          <t>https://shop.biotechusa.fr/products/100-pure-whey-renouvele-1000-g</t>
        </is>
      </c>
      <c r="X50" t="inlineStr">
        <is>
          <t>GROS ÉCART : site marque 54.90€ vs idealo 27.02€ (-51%). Cross-retailers beaucoup moins cher.</t>
        </is>
      </c>
    </row>
    <row r="51">
      <c r="A51">
        <f>'Benchmark détaillé'!AY1</f>
        <v/>
      </c>
      <c r="B51" t="inlineStr">
        <is>
          <t>100% Pure Whey 2000g</t>
        </is>
      </c>
      <c r="C51">
        <f>'Benchmark détaillé'!AY4</f>
        <v/>
      </c>
      <c r="D51">
        <f>'Benchmark détaillé'!AY10</f>
        <v/>
      </c>
      <c r="E51">
        <f>'Benchmark détaillé'!AY5</f>
        <v/>
      </c>
      <c r="F51">
        <f>'Benchmark détaillé'!AY15</f>
        <v/>
      </c>
      <c r="G51">
        <f>'Benchmark détaillé'!AY13</f>
        <v/>
      </c>
      <c r="H51">
        <f>'Benchmark détaillé'!AY21</f>
        <v/>
      </c>
      <c r="I51">
        <f>'Benchmark détaillé'!AY22</f>
        <v/>
      </c>
      <c r="J51">
        <f>'Benchmark détaillé'!AY23</f>
        <v/>
      </c>
      <c r="K51" s="12">
        <f>IFERROR((H51-I51)/H51*100,"")</f>
        <v/>
      </c>
      <c r="L51" s="12">
        <f>IFERROR((I51-J51)/I51*100,"")</f>
        <v/>
      </c>
      <c r="M51" s="12">
        <f>IFERROR(I51/(E51/1000),"")</f>
        <v/>
      </c>
      <c r="N51" s="12">
        <f>IFERROR(I51/(F51*G51),"")</f>
        <v/>
      </c>
      <c r="O51">
        <f>'Benchmark détaillé'!AY31</f>
        <v/>
      </c>
      <c r="P51">
        <f>'Benchmark détaillé'!AY32</f>
        <v/>
      </c>
      <c r="Q51" s="12">
        <f>IFERROR(VLOOKUP(A51,'Discounts par marque'!$A:$G,4,FALSE),0)</f>
        <v/>
      </c>
      <c r="R51" s="12">
        <f>IFERROR(VLOOKUP(A51,'Discounts par marque'!$A:$G,5,FALSE),0)</f>
        <v/>
      </c>
      <c r="S51" s="12">
        <f>IFERROR(I51*(1-Q51/100),"")</f>
        <v/>
      </c>
      <c r="T51" s="12">
        <f>IFERROR(S51/(F51*G51),"")</f>
        <v/>
      </c>
      <c r="U51" s="12">
        <f>IFERROR(I51*(1-R51/100),"")</f>
        <v/>
      </c>
      <c r="V51" s="12">
        <f>IFERROR(U51/(F51*G51),"")</f>
        <v/>
      </c>
      <c r="W51" t="inlineStr">
        <is>
          <t>https://shop.biotechusa.fr/products/100-pure-whey-2000-g</t>
        </is>
      </c>
      <c r="X51" t="inlineStr">
        <is>
          <t>Cohérent avec 1kg : site marque surcoté vs cross-retailers (~-40-50%)</t>
        </is>
      </c>
    </row>
  </sheetData>
  <hyperlinks>
    <hyperlink xmlns:r="http://schemas.openxmlformats.org/officeDocument/2006/relationships" ref="W8" location="/332-poids_poudre-seau_2kg" r:id="rId1"/>
    <hyperlink xmlns:r="http://schemas.openxmlformats.org/officeDocument/2006/relationships" ref="W10" r:id="rId2"/>
    <hyperlink xmlns:r="http://schemas.openxmlformats.org/officeDocument/2006/relationships" ref="W22" r:id="rId3"/>
    <hyperlink xmlns:r="http://schemas.openxmlformats.org/officeDocument/2006/relationships" ref="W30"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xSplit="1" ySplit="1" topLeftCell="B6" activePane="bottomRight" state="frozen"/>
      <selection pane="topRight" activeCell="A1" sqref="A1"/>
      <selection pane="bottomLeft" activeCell="A1" sqref="A1"/>
      <selection pane="bottomRight" activeCell="A8" sqref="A8:XFD8"/>
    </sheetView>
  </sheetViews>
  <sheetFormatPr baseColWidth="10" defaultColWidth="8.7265625" defaultRowHeight="14.5"/>
  <cols>
    <col width="14" customWidth="1" style="24" min="1" max="1"/>
    <col width="10" customWidth="1" style="24" min="2" max="2"/>
    <col width="16" customWidth="1" style="24" min="3" max="6"/>
    <col width="18" customWidth="1" style="24" min="7" max="7"/>
    <col width="16" customWidth="1" style="24" min="8" max="8"/>
    <col width="34" customWidth="1" style="24" min="9" max="9"/>
    <col width="10" customWidth="1" style="24" min="10" max="10"/>
    <col width="30" customWidth="1" style="24" min="11" max="11"/>
    <col width="40" customWidth="1" style="24" min="12" max="13"/>
  </cols>
  <sheetData>
    <row r="1">
      <c r="A1" s="21" t="inlineStr">
        <is>
          <t>Marque</t>
        </is>
      </c>
      <c r="B1" s="21" t="inlineStr">
        <is>
          <t>1ère cmd (%)</t>
        </is>
      </c>
      <c r="C1" s="21" t="inlineStr">
        <is>
          <t>Remise bas fourchette (%)</t>
        </is>
      </c>
      <c r="D1" s="21" t="inlineStr">
        <is>
          <t>Remise client standard (%)</t>
        </is>
      </c>
      <c r="E1" s="21" t="inlineStr">
        <is>
          <t>Remise client averti (%)</t>
        </is>
      </c>
      <c r="F1" s="21" t="inlineStr">
        <is>
          <t>Remise plafond observé (%)</t>
        </is>
      </c>
      <c r="G1" s="21" t="inlineStr">
        <is>
          <t>% prix réel vs catalogue</t>
        </is>
      </c>
      <c r="H1" s="21" t="inlineStr">
        <is>
          <t>Fréquence promo</t>
        </is>
      </c>
      <c r="I1" s="21" t="inlineStr">
        <is>
          <t>Codes (top 5)</t>
        </is>
      </c>
      <c r="J1" s="21" t="inlineStr">
        <is>
          <t>N codes sourcés</t>
        </is>
      </c>
      <c r="K1" s="21" t="inlineStr">
        <is>
          <t>Règles stacking</t>
        </is>
      </c>
      <c r="L1" s="21" t="inlineStr">
        <is>
          <t>Note</t>
        </is>
      </c>
      <c r="M1" s="21" t="inlineStr">
        <is>
          <t>Sources</t>
        </is>
      </c>
    </row>
    <row r="2" ht="95.15000000000001" customHeight="1" s="24">
      <c r="A2" s="10" t="inlineStr">
        <is>
          <t>IMPULSE</t>
        </is>
      </c>
      <c r="B2" s="10" t="n">
        <v>10</v>
      </c>
      <c r="C2" s="10" t="n">
        <v>15</v>
      </c>
      <c r="D2" s="10" t="n">
        <v>15</v>
      </c>
      <c r="E2" s="10" t="n">
        <v>15</v>
      </c>
      <c r="F2" s="10" t="n">
        <v>15</v>
      </c>
      <c r="G2" s="10" t="n">
        <v>85</v>
      </c>
      <c r="H2" s="10" t="inlineStr">
        <is>
          <t>ponctuel</t>
        </is>
      </c>
      <c r="I2" s="10" t="inlineStr">
        <is>
          <t>LORENA 15% (@lorena)</t>
        </is>
      </c>
      <c r="J2" s="10" t="n">
        <v>1</v>
      </c>
      <c r="K2" s="10" t="inlineStr">
        <is>
          <t>10% première commande ne stacke pas avec code ambassadeur; parrainage 15% sur 1ère commande + 10% parrain</t>
        </is>
      </c>
      <c r="L2" s="10" t="inlineStr">
        <is>
          <t>Politique -10% bienvenue homepage; codes ambassadeurs typiquement 15%. Pas de promo quasi-permanente publique.</t>
        </is>
      </c>
      <c r="M2" s="10" t="inlineStr">
        <is>
          <t>https://impulse-nutrition.fr
https://impulse-nutrition.fr/pages/refer
https://fr.hotdeals.com/code-promo/impulse-nutrition</t>
        </is>
      </c>
    </row>
    <row r="3" ht="95.15000000000001" customHeight="1" s="24">
      <c r="A3" s="10" t="inlineStr">
        <is>
          <t>NUTRIPURE</t>
        </is>
      </c>
      <c r="B3" s="10" t="n">
        <v>10</v>
      </c>
      <c r="C3" s="10" t="n"/>
      <c r="D3" s="10" t="n"/>
      <c r="E3" s="10" t="n"/>
      <c r="F3" s="10" t="n"/>
      <c r="G3" s="10" t="n"/>
      <c r="H3" s="10" t="inlineStr">
        <is>
          <t>aucun</t>
        </is>
      </c>
      <c r="I3" s="10" t="n"/>
      <c r="J3" s="10" t="n">
        <v>0</v>
      </c>
      <c r="K3" s="10" t="inlineStr">
        <is>
          <t>Pas de cumul; 10% fidélité + 10% packs intégré</t>
        </is>
      </c>
      <c r="L3" s="10" t="inlineStr">
        <is>
          <t>Politique anti-promo délibérée. Pas de Black Friday, pas de codes influenceurs &gt;10%. Seuls le parrainage (10%) et les packs (10-25% intégrés) existent. Le prix catalogue est le vrai prix.</t>
        </is>
      </c>
      <c r="M3" s="10" t="inlineStr">
        <is>
          <t>https://www.nutripure.fr/fr/info/29-code-promo-nutripure
https://www.edp-nutrition.fr/code-promo-nutripure-influenceur/</t>
        </is>
      </c>
    </row>
    <row r="4" ht="95.15000000000001" customHeight="1" s="24">
      <c r="A4" s="10" t="inlineStr">
        <is>
          <t>NUTRIMUSCLE</t>
        </is>
      </c>
      <c r="B4" s="10" t="n"/>
      <c r="C4" s="10" t="n">
        <v>10</v>
      </c>
      <c r="D4" s="10" t="n">
        <v>10</v>
      </c>
      <c r="E4" s="10" t="n">
        <v>10</v>
      </c>
      <c r="F4" s="10" t="n">
        <v>10</v>
      </c>
      <c r="G4" s="10" t="n">
        <v>90</v>
      </c>
      <c r="H4" s="10" t="inlineStr">
        <is>
          <t>ponctuel</t>
        </is>
      </c>
      <c r="I4" s="10" t="inlineStr">
        <is>
          <t>NMA_HYBRIDX5 10% (@valentingenest)
NME_NABFIT 5% (@nabfit)
NME_NUTRITION5 5% (générique)</t>
        </is>
      </c>
      <c r="J4" s="10" t="n">
        <v>3</v>
      </c>
      <c r="K4" s="10" t="inlineStr">
        <is>
          <t>Codes 5-10% cumulables avec packs réduits; ventes -20% saisonnières</t>
        </is>
      </c>
      <c r="L4" s="10" t="inlineStr">
        <is>
          <t>Politique codes influenceurs très modérés (5-10%, rarement 15%). Promos -20% uniquement en périodes soldes/Black Friday.</t>
        </is>
      </c>
      <c r="M4" s="10" t="inlineStr">
        <is>
          <t>https://www.dealabs.com/codes-promo/nutrimuscle.com
https://eu.nutrimuscle.com/pages/nos-offres
https://www.influenceur.promo/marques/nutrimuscle/</t>
        </is>
      </c>
    </row>
    <row r="5" ht="95.15000000000001" customHeight="1" s="24">
      <c r="A5" s="10" t="inlineStr">
        <is>
          <t>NUTRI&amp;CO</t>
        </is>
      </c>
      <c r="B5" s="10" t="n">
        <v>10</v>
      </c>
      <c r="C5" s="10" t="n">
        <v>10</v>
      </c>
      <c r="D5" s="10" t="n">
        <v>10</v>
      </c>
      <c r="E5" s="10" t="n">
        <v>10</v>
      </c>
      <c r="F5" s="10" t="n">
        <v>10</v>
      </c>
      <c r="G5" s="10" t="n">
        <v>90</v>
      </c>
      <c r="H5" s="10" t="inlineStr">
        <is>
          <t>ponctuel</t>
        </is>
      </c>
      <c r="I5" s="10" t="inlineStr">
        <is>
          <t>LESAVISDEMILIE10 10% (@lesavisdemilie)
FITBYALEXIA 10% (@fitbyalexia)</t>
        </is>
      </c>
      <c r="J5" s="10" t="n">
        <v>2</v>
      </c>
      <c r="K5" s="10" t="inlineStr">
        <is>
          <t>Codes plafonnés à 10%, durée limitée</t>
        </is>
      </c>
      <c r="L5" s="10" t="inlineStr">
        <is>
          <t>Politique codes influenceurs plafonnée à 10%. Positionnement santé/premium, promos modérées.</t>
        </is>
      </c>
      <c r="M5" s="10" t="inlineStr">
        <is>
          <t>https://www.influenceur.promo/marques/nutrico/
https://www.edp-nutrition.fr/code-promo-nutri-and-co-influenceur/</t>
        </is>
      </c>
    </row>
    <row r="6" ht="95.15000000000001" customHeight="1" s="24">
      <c r="A6" s="10" t="inlineStr">
        <is>
          <t>AQEELAB</t>
        </is>
      </c>
      <c r="B6" s="10" t="n">
        <v>15</v>
      </c>
      <c r="C6" s="10" t="n">
        <v>12</v>
      </c>
      <c r="D6" s="10" t="n">
        <v>12</v>
      </c>
      <c r="E6" s="10" t="n">
        <v>12</v>
      </c>
      <c r="F6" s="10" t="n">
        <v>12</v>
      </c>
      <c r="G6" s="10" t="n">
        <v>88</v>
      </c>
      <c r="H6" s="10" t="inlineStr">
        <is>
          <t>quasi-permanent</t>
        </is>
      </c>
      <c r="I6" s="10" t="inlineStr">
        <is>
          <t>LEVAND 20% (@alex.levand)
TRISTAN15 15% (@tristan)
CREATINATOR 10% (@creatinator)</t>
        </is>
      </c>
      <c r="J6" s="10" t="n">
        <v>3</v>
      </c>
      <c r="K6" s="10" t="inlineStr">
        <is>
          <t>Codes sans minimum, sans date d'expiration, année entière</t>
        </is>
      </c>
      <c r="L6" s="10" t="inlineStr">
        <is>
          <t>Page officielle liste tous les codes (-5/-10/-15%/-25€). Politique transparente, codes stables toute l'année.</t>
        </is>
      </c>
      <c r="M6" s="10" t="inlineStr">
        <is>
          <t>https://www.aqeelab-nutrition.fr/pages/des-conseils-des-infos-et-des-reductions
https://nabfit.fr/complements-alimentaires-musculation/pas-chers/codes-promo/aqeelab-nutrition/</t>
        </is>
      </c>
    </row>
    <row r="7" ht="95.15000000000001" customHeight="1" s="24">
      <c r="A7" s="10" t="inlineStr">
        <is>
          <t>ERIC FAVRE</t>
        </is>
      </c>
      <c r="B7" s="10" t="n">
        <v>10</v>
      </c>
      <c r="C7" s="10" t="n">
        <v>10</v>
      </c>
      <c r="D7" s="10" t="n">
        <v>10</v>
      </c>
      <c r="E7" s="10" t="n">
        <v>15</v>
      </c>
      <c r="F7" s="10" t="n">
        <v>20</v>
      </c>
      <c r="G7" s="10" t="n">
        <v>85</v>
      </c>
      <c r="H7" s="10" t="inlineStr">
        <is>
          <t>quasi-permanent</t>
        </is>
      </c>
      <c r="I7" s="10" t="inlineStr">
        <is>
          <t>SUPER20 20% (code site (&gt;=120€))
NPNG20 20% (code événementiel)
BODY15 15% (code partenaire)
EFNFC10 10% (@essan_nfc)
FAVRE10 10% (code site générique)</t>
        </is>
      </c>
      <c r="J7" s="10" t="n">
        <v>6</v>
      </c>
      <c r="K7" s="10" t="inlineStr">
        <is>
          <t>Programme influenceur limité (~5 ambassadeurs identifiés). Codes site 10% no-min, 20% SUPER20 avec min 120€. Pas de cumul.</t>
        </is>
      </c>
      <c r="L7" s="10" t="inlineStr">
        <is>
          <t>Programme ambassadeur très modeste — Eric Favre est positionné plus pharmacie/pro-sport que fitness mass-market. Essan NFC est le seul vrai ambassadeur agrégé avec 1087 utilisations. P50=10%, P90=15%. Client averti paye ~85% du catalogue.</t>
        </is>
      </c>
      <c r="M7" s="10" t="inlineStr">
        <is>
          <t>https://www.ericfavre.com/fr_fr/reductions-codes-promo
https://www.influenceur.promo/marques/eric-favre/
https://fr.hotdeals.com/store/code-promo-eric-favre</t>
        </is>
      </c>
    </row>
    <row r="8" ht="95.15000000000001" customHeight="1" s="24">
      <c r="A8" s="10" t="inlineStr">
        <is>
          <t>EAFIT</t>
        </is>
      </c>
      <c r="B8" s="10" t="n">
        <v>30</v>
      </c>
      <c r="C8" s="10" t="n">
        <v>20</v>
      </c>
      <c r="D8" s="10" t="n">
        <v>32</v>
      </c>
      <c r="E8" s="10" t="n">
        <v>32</v>
      </c>
      <c r="F8" s="10" t="n">
        <v>35</v>
      </c>
      <c r="G8" s="10" t="n">
        <v>68</v>
      </c>
      <c r="H8" s="10" t="inlineStr">
        <is>
          <t>quasi-permanent</t>
        </is>
      </c>
      <c r="I8" s="10" t="inlineStr">
        <is>
          <t>CPS32 32% (@tamara.awada)
MARION32 32% (@mrsmariont)
MATHILDE32 32% (@mathildegros)
TATIANA32 32% (@tatianamembre)
ILONA32 32% (@ilonafrigout)</t>
        </is>
      </c>
      <c r="J8" s="10" t="n">
        <v>10</v>
      </c>
      <c r="K8" s="10" t="inlineStr">
        <is>
          <t>Programme français standardisé à 32% (suffixe *32 sur 8+ codes récents). Ancien programme 20% résiduel (EMILIE20). Code site FIT25=25% + pack offert dès 60€. Pas de cumul code influenceur + FIT25.</t>
        </is>
      </c>
      <c r="L8" s="10" t="inlineStr">
        <is>
          <t>Programme ambassadeur UPGRADÉ à 32% (vs 20% historique). Client averti paye ~68% du catalogue via code CPS32/MARION32. Plus agressif qu'attendu pour une marque française.</t>
        </is>
      </c>
      <c r="M8" s="10" t="inlineStr">
        <is>
          <t>https://www.eafit.com/deals-du-moment.html
https://www.influenceur.promo/marques/ea-fit/
https://www.lesavisdemilie.fr/code-promo-eafit/</t>
        </is>
      </c>
    </row>
    <row r="9" ht="95.15000000000001" customHeight="1" s="24">
      <c r="A9" s="10" t="inlineStr">
        <is>
          <t>DECATHLON</t>
        </is>
      </c>
      <c r="B9" s="10" t="n"/>
      <c r="C9" s="10" t="n"/>
      <c r="D9" s="10" t="n"/>
      <c r="E9" s="10" t="n"/>
      <c r="F9" s="10" t="n"/>
      <c r="G9" s="10" t="n"/>
      <c r="H9" s="10" t="inlineStr">
        <is>
          <t>ponctuel</t>
        </is>
      </c>
      <c r="I9" s="10" t="n"/>
      <c r="J9" s="10" t="n">
        <v>0</v>
      </c>
      <c r="K9" s="10" t="n"/>
      <c r="L9" s="10" t="inlineStr">
        <is>
          <t>Corength / Aptonia sans programme d'affiliation influenceur structuré. Prix catalogue stables, promos seulement lors soldes Decathlon globales.</t>
        </is>
      </c>
      <c r="M9" s="10" t="inlineStr">
        <is>
          <t>https://www.decathlon.fr/nutrition-sante/whey-proteines
https://www.lareduction.fr/s/decathlon.fr</t>
        </is>
      </c>
    </row>
    <row r="10" ht="95.15000000000001" customHeight="1" s="24">
      <c r="A10" s="10" t="inlineStr">
        <is>
          <t>BULK</t>
        </is>
      </c>
      <c r="B10" s="10" t="n">
        <v>15</v>
      </c>
      <c r="C10" s="10" t="n">
        <v>25</v>
      </c>
      <c r="D10" s="10" t="n">
        <v>45</v>
      </c>
      <c r="E10" s="10" t="n">
        <v>45</v>
      </c>
      <c r="F10" s="10" t="n">
        <v>45</v>
      </c>
      <c r="G10" s="10" t="n">
        <v>55</v>
      </c>
      <c r="H10" s="10" t="inlineStr">
        <is>
          <t>quasi-permanent</t>
        </is>
      </c>
      <c r="I10" s="10" t="inlineStr">
        <is>
          <t>BUDDY45 45% (@tristandefeuilletvang)
TWINS 45% (@twinsb_fit)
ARTHUR 45% (@arthurbenedetti)
LIFTIT 45% (@hugophilip)
ALIX 45% (@alixmhd)</t>
        </is>
      </c>
      <c r="J10" s="10" t="n">
        <v>10</v>
      </c>
      <c r="K10" s="10" t="inlineStr">
        <is>
          <t>Distribution quasi monolithique à 45% (codes récents 2024-2026) + reliquat 20-25% (codes anciens). Site affiche 'jusqu'à -75%' en homepage (cumul produit-promo + code). Flash sales 'Bulk Week' -50/-70% ponctuelles. Code influenceur ne stacke pas avec flash sale.</t>
        </is>
      </c>
      <c r="L10" s="10" t="inlineStr">
        <is>
          <t>Programme ULTRA-STANDARDISÉ : 20+ ambassadeurs au même code 45%. Tes 30% initiaux étaient largement sous-estimés — P50 réel = 45%. Site-wide banner '-75%' atteint via cumul. Client averti paye ~55% du catalogue.</t>
        </is>
      </c>
      <c r="M10" s="10" t="inlineStr">
        <is>
          <t>https://www.influenceur.promo/marques/bulk-powders/
https://www.lesavisdemilie.fr/code-promo-bulk/
https://www.savoo.fr/marques/codes-promo-bulk</t>
        </is>
      </c>
    </row>
    <row r="11" ht="95.15000000000001" customHeight="1" s="24">
      <c r="A11" s="10" t="inlineStr">
        <is>
          <t>MYPROTEIN</t>
        </is>
      </c>
      <c r="B11" s="10" t="n">
        <v>40</v>
      </c>
      <c r="C11" s="10" t="n">
        <v>20</v>
      </c>
      <c r="D11" s="10" t="n">
        <v>42</v>
      </c>
      <c r="E11" s="10" t="n">
        <v>50</v>
      </c>
      <c r="F11" s="10" t="n">
        <v>55</v>
      </c>
      <c r="G11" s="10" t="n">
        <v>52</v>
      </c>
      <c r="H11" s="10" t="inlineStr">
        <is>
          <t>quasi-permanent</t>
        </is>
      </c>
      <c r="I11" s="10" t="inlineStr">
        <is>
          <t>MELISSAT 55% (@melissathiebaut)
BUDDY 50% (@tristandefeuilletvang)
PAUL 50% (@pauldenisnavero)
TURBOTIFF 50% (@tiffanychapon)
TDYPARKER 50% (@tdyparker)</t>
        </is>
      </c>
      <c r="J11" s="10" t="n">
        <v>12</v>
      </c>
      <c r="K11" s="10" t="inlineStr">
        <is>
          <t>Site affiche en permanence 'up to 55% off' en bandeau homepage. Codes influenceurs NE se cumulent PAS avec flash sale site — le plus élevé s'applique, typiquement code influenceur 42-50% remplace promo 30-40% base.</t>
        </is>
      </c>
      <c r="L11" s="10" t="inlineStr">
        <is>
          <t>PRIX CATALOGUE TOTALEMENT FICTIF. Promo permanente 30-55% en bandeau site. P50 codes influenceurs = 42%, P90 = 50%, max = 55%. Le client averti applique systématiquement un code 50% → paye ~50% du catalogue. Les 35% initiaux étaient largement sous-estimés (~P25).</t>
        </is>
      </c>
      <c r="M11" s="10" t="inlineStr">
        <is>
          <t>https://www.influenceur.promo/marques/myprotein/
https://kotag.co/marques/codes-promo-myprotein/
https://www.codes-promo-influenceurs.fr/marques/myprotein
https://fr.myprotein.com/c/nouveaux-clients/</t>
        </is>
      </c>
    </row>
    <row r="12" ht="95.15000000000001" customHeight="1" s="24">
      <c r="A12" s="10" t="inlineStr">
        <is>
          <t>PROZIS</t>
        </is>
      </c>
      <c r="B12" s="10" t="n">
        <v>10</v>
      </c>
      <c r="C12" s="10" t="n">
        <v>10</v>
      </c>
      <c r="D12" s="10" t="n">
        <v>10</v>
      </c>
      <c r="E12" s="10" t="n">
        <v>20</v>
      </c>
      <c r="F12" s="10" t="n">
        <v>50</v>
      </c>
      <c r="G12" s="10" t="n">
        <v>65</v>
      </c>
      <c r="H12" s="10" t="inlineStr">
        <is>
          <t>quasi-permanent</t>
        </is>
      </c>
      <c r="I12" s="10" t="inlineStr">
        <is>
          <t>19YEARS 50% (flash sale anniversaire)
MADNESS 40% (flash sale site)
KEONII 10% (@keonii)
LAURAPETARD 10% (@laurapetard)
QFITLIFE 10% (@quentin-fitlife)</t>
        </is>
      </c>
      <c r="J12" s="10" t="n">
        <v>10</v>
      </c>
      <c r="K12" s="10" t="inlineStr">
        <is>
          <t>Codes influenceurs standardisés à 10% — cumul PARTIEL avec promos produit (pack, outlet) mais PAS avec flash sales (MADNESS, 19YEARS, BLACKWEEK à 40-50%). Site en permanence avec produits -30 à -50% en outlet.</t>
        </is>
      </c>
      <c r="L12" s="10" t="inlineStr">
        <is>
          <t>Très modéré côté influenceurs (10% dominant) mais les flash sales saisonnières (MADNESS, 19YEARS) vont jusqu'à 50%. Client averti attend une flash sale pour commander. P50 codes quotidiens = 10%, P90 = 20% (outlet), max = 50% (flash sale).</t>
        </is>
      </c>
      <c r="M12" s="10" t="inlineStr">
        <is>
          <t>https://www.influenceur.promo/marques/prozis/
https://fr.promocodie.com/code/code-promo-prozis-influenceur</t>
        </is>
      </c>
    </row>
    <row r="13" ht="95.15000000000001" customHeight="1" s="24">
      <c r="A13" s="10" t="inlineStr">
        <is>
          <t>FOODSPRING</t>
        </is>
      </c>
      <c r="B13" s="10" t="n">
        <v>10</v>
      </c>
      <c r="C13" s="10" t="n">
        <v>15</v>
      </c>
      <c r="D13" s="10" t="n">
        <v>15</v>
      </c>
      <c r="E13" s="10" t="n">
        <v>20</v>
      </c>
      <c r="F13" s="10" t="n">
        <v>30</v>
      </c>
      <c r="G13" s="10" t="n">
        <v>85</v>
      </c>
      <c r="H13" s="10" t="inlineStr">
        <is>
          <t>quasi-permanent</t>
        </is>
      </c>
      <c r="I13" s="10" t="inlineStr">
        <is>
          <t>FOODSPRING30 30% (site code évènementiel)
FS20SALE 20% (@yamina_niya)
ALIZOUFSG 20% (@alizeeandreani)
JUJUFSG 20% (@juliecfs)
JESSICA15 15% (@jessicathivenin)</t>
        </is>
      </c>
      <c r="J13" s="10" t="n">
        <v>10</v>
      </c>
      <c r="K13" s="10" t="inlineStr">
        <is>
          <t>Programme ultra-standardisé à 15% (60+ codes suffixe *FSG). Remontées ponctuelles à 20% (Black Week, SummerSale). Code site FOODSPRING30 = 30% évènementiel. Pas de cumul entre code influenceur et flash sale.</t>
        </is>
      </c>
      <c r="L13" s="10" t="inlineStr">
        <is>
          <t>Très conservateur (15% dominant, ~85% des codes). Stratégie Foodspring = premium, moins de guerre des prix que MyProtein/Bulk. P50 = 15% fiable, P90 = 20%. Client averti paye ~85% du catalogue.</t>
        </is>
      </c>
      <c r="M13" s="10" t="inlineStr">
        <is>
          <t>https://www.influenceur.promo/marques/foodspring/
https://vivremoinscher.fr/stores/foodspring-coupons/</t>
        </is>
      </c>
    </row>
    <row r="14" ht="95.15000000000001" customHeight="1" s="24">
      <c r="A14" s="10" t="inlineStr">
        <is>
          <t>ESN</t>
        </is>
      </c>
      <c r="B14" s="10" t="n">
        <v>10</v>
      </c>
      <c r="C14" s="10" t="n">
        <v>15</v>
      </c>
      <c r="D14" s="10" t="n">
        <v>20</v>
      </c>
      <c r="E14" s="10" t="n">
        <v>25</v>
      </c>
      <c r="F14" s="10" t="n">
        <v>30</v>
      </c>
      <c r="G14" s="10" t="n">
        <v>80</v>
      </c>
      <c r="H14" s="10" t="inlineStr">
        <is>
          <t>quasi-permanent</t>
        </is>
      </c>
      <c r="I14" s="10" t="inlineStr">
        <is>
          <t>ELENA 20% (@elena.ntns)
KIMMIE 20% (@kimmieous)
LEON 20% (@leonidas_arkona)
LARA 20% (@laraemilia)
KEVIN 20% (@wolterkevin)</t>
        </is>
      </c>
      <c r="J14" s="10" t="n">
        <v>8</v>
      </c>
      <c r="K14" s="10" t="inlineStr">
        <is>
          <t>Programme allemand standardisé à 20%. 'Performance Week' et flash sales site jusqu'à 40-50%, pas de cumul. Discounts site ciblés par catégorie (10% outlet, 20% selected, 50% certains variants).</t>
        </is>
      </c>
      <c r="L14" s="10" t="inlineStr">
        <is>
          <t>Distribution très uniforme à 20% (tous ambassadeurs). Max 25% sur promos saisonales. Moins agressif que MyProtein/Bulk. Client paye ~80% du catalogue.</t>
        </is>
      </c>
      <c r="M14" s="10" t="inlineStr">
        <is>
          <t>https://www.influencercodes.de/marken/esn/
https://suppwiser.de/rabattcodes/esn-rabattcode/
https://fr.coupert.com/codes-promo/esn-com</t>
        </is>
      </c>
    </row>
    <row r="15" ht="95.15000000000001" customHeight="1" s="24">
      <c r="A15" s="10" t="inlineStr">
        <is>
          <t>BIOTECHUSA</t>
        </is>
      </c>
      <c r="B15" s="10" t="n">
        <v>10</v>
      </c>
      <c r="C15" s="10" t="n">
        <v>15</v>
      </c>
      <c r="D15" s="10" t="n">
        <v>15</v>
      </c>
      <c r="E15" s="10" t="n">
        <v>20</v>
      </c>
      <c r="F15" s="10" t="n">
        <v>30</v>
      </c>
      <c r="G15" s="10" t="n">
        <v>82</v>
      </c>
      <c r="H15" s="10" t="inlineStr">
        <is>
          <t>quasi-permanent</t>
        </is>
      </c>
      <c r="I15" s="10" t="inlineStr">
        <is>
          <t>SUPER1225 30% (site code évènementiel)
GYM33 20% (@gym33)
JENZO15 15% (@jeanneetenzo)
ANA15 15% (@anastasiyabury)
REMI15 15% (@remi_ragnar)</t>
        </is>
      </c>
      <c r="J15" s="10" t="n">
        <v>6</v>
      </c>
      <c r="K15" s="10" t="inlineStr">
        <is>
          <t>Programme ambassadeurs à 15% fixe (TRND + partenariats directs). Codes site évènementiels jusqu'à 30-40%. Programme de fidélité cumulable avec code influenceur selon ambassadeur.</t>
        </is>
      </c>
      <c r="L15" s="10" t="inlineStr">
        <is>
          <t>Programme modeste : 15% standard, rarement au-delà de 20%. BiotechUSA = marque hongroise low-cost de base. P50 = 15% très fiable. Client paye ~82% du catalogue.</t>
        </is>
      </c>
      <c r="M15" s="10" t="inlineStr">
        <is>
          <t>https://shop.biotechusa.fr/collections/promotion-mensuelle-automatique
https://shop.biotechusa.fr/pages/loyalty-program
https://kotag.co/marques/codes-promo-biotechusa/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2"/>
  <sheetViews>
    <sheetView workbookViewId="0">
      <pane ySplit="2" topLeftCell="A3" activePane="bottomLeft" state="frozen"/>
      <selection pane="bottomLeft" activeCell="E46" sqref="E46"/>
    </sheetView>
  </sheetViews>
  <sheetFormatPr baseColWidth="10" defaultColWidth="8.7265625" defaultRowHeight="14.5"/>
  <cols>
    <col width="6" customWidth="1" style="24" min="1" max="1"/>
    <col width="14" customWidth="1" style="24" min="2" max="2"/>
    <col width="30" customWidth="1" style="24" min="3" max="3"/>
    <col width="10" customWidth="1" style="24" min="4" max="4"/>
    <col width="13" customWidth="1" style="24" min="5" max="7"/>
    <col width="18" customWidth="1" style="24" min="8" max="9"/>
    <col width="22" customWidth="1" style="24" min="10" max="10"/>
    <col width="18" customWidth="1" style="24" min="11" max="11"/>
    <col width="22" customWidth="1" style="24" min="12" max="12"/>
    <col width="16" customWidth="1" style="24" min="13" max="13"/>
  </cols>
  <sheetData>
    <row r="1" ht="55" customHeight="1" s="24">
      <c r="A1" s="23" t="inlineStr">
        <is>
          <t>Classement par 'Prix client standard / g protéine' croissant (#1 = meilleur rapport qualité/prix pour un client avec un code ambassadeur typique). Les valeurs chiffrées sont des formules live référençant l'onglet 'Synthèse prix'. Seul l'ordre de tri est figé au build. Si tu modifies un prix/remise dans Synthèse ou Discounts, les valeurs ici se mettent à jour. Pour réordonner le classement après une modif majeure, regénère le xlsx.</t>
        </is>
      </c>
    </row>
    <row r="2">
      <c r="A2" s="21" t="inlineStr">
        <is>
          <t>Rang</t>
        </is>
      </c>
      <c r="B2" s="21" t="inlineStr">
        <is>
          <t>Marque</t>
        </is>
      </c>
      <c r="C2" s="21" t="inlineStr">
        <is>
          <t>Produit</t>
        </is>
      </c>
      <c r="D2" s="21" t="inlineStr">
        <is>
          <t>Format</t>
        </is>
      </c>
      <c r="E2" s="21" t="inlineStr">
        <is>
          <t>Prix nominal</t>
        </is>
      </c>
      <c r="F2" s="21" t="inlineStr">
        <is>
          <t>Prix actuel</t>
        </is>
      </c>
      <c r="G2" s="21" t="inlineStr">
        <is>
          <t>Prix marché</t>
        </is>
      </c>
      <c r="H2" s="21" t="inlineStr">
        <is>
          <t>Prix actuel /g prot</t>
        </is>
      </c>
      <c r="I2" s="21" t="inlineStr">
        <is>
          <t>Prix client standard</t>
        </is>
      </c>
      <c r="J2" s="21" t="inlineStr">
        <is>
          <t>Prix client standard /g prot</t>
        </is>
      </c>
      <c r="K2" s="21" t="inlineStr">
        <is>
          <t>Prix client averti</t>
        </is>
      </c>
      <c r="L2" s="21" t="inlineStr">
        <is>
          <t>Prix client averti /g prot</t>
        </is>
      </c>
      <c r="M2" s="21" t="inlineStr">
        <is>
          <t>Remise standard (%)</t>
        </is>
      </c>
    </row>
    <row r="3">
      <c r="A3" t="n">
        <v>1</v>
      </c>
      <c r="B3">
        <f>'Synthèse prix'!A44</f>
        <v/>
      </c>
      <c r="C3" t="inlineStr">
        <is>
          <t>Impact Whey Protein 2,5kg</t>
        </is>
      </c>
      <c r="D3" t="inlineStr">
        <is>
          <t>2.5kg</t>
        </is>
      </c>
      <c r="E3" s="12">
        <f>'Synthèse prix'!H44</f>
        <v/>
      </c>
      <c r="F3" s="12">
        <f>'Synthèse prix'!I44</f>
        <v/>
      </c>
      <c r="G3" s="12">
        <f>'Synthèse prix'!J44</f>
        <v/>
      </c>
      <c r="H3" s="12">
        <f>'Synthèse prix'!N44</f>
        <v/>
      </c>
      <c r="I3" s="12">
        <f>'Synthèse prix'!S44</f>
        <v/>
      </c>
      <c r="J3" s="12">
        <f>'Synthèse prix'!T44</f>
        <v/>
      </c>
      <c r="K3" s="12">
        <f>'Synthèse prix'!U44</f>
        <v/>
      </c>
      <c r="L3" s="12">
        <f>'Synthèse prix'!V44</f>
        <v/>
      </c>
      <c r="M3" s="12">
        <f>'Synthèse prix'!Q44</f>
        <v/>
      </c>
    </row>
    <row r="4">
      <c r="A4" t="n">
        <v>2</v>
      </c>
      <c r="B4">
        <f>'Synthèse prix'!A43</f>
        <v/>
      </c>
      <c r="C4" t="inlineStr">
        <is>
          <t>Impact Whey Protein 1kg</t>
        </is>
      </c>
      <c r="D4" t="inlineStr">
        <is>
          <t>1kg</t>
        </is>
      </c>
      <c r="E4" s="12">
        <f>'Synthèse prix'!H43</f>
        <v/>
      </c>
      <c r="F4" s="12">
        <f>'Synthèse prix'!I43</f>
        <v/>
      </c>
      <c r="G4" s="12">
        <f>'Synthèse prix'!J43</f>
        <v/>
      </c>
      <c r="H4" s="12">
        <f>'Synthèse prix'!N43</f>
        <v/>
      </c>
      <c r="I4" s="12">
        <f>'Synthèse prix'!S43</f>
        <v/>
      </c>
      <c r="J4" s="12">
        <f>'Synthèse prix'!T43</f>
        <v/>
      </c>
      <c r="K4" s="12">
        <f>'Synthèse prix'!U43</f>
        <v/>
      </c>
      <c r="L4" s="12">
        <f>'Synthèse prix'!V43</f>
        <v/>
      </c>
      <c r="M4" s="12">
        <f>'Synthèse prix'!Q43</f>
        <v/>
      </c>
    </row>
    <row r="5">
      <c r="A5" t="n">
        <v>3</v>
      </c>
      <c r="B5">
        <f>'Synthèse prix'!A45</f>
        <v/>
      </c>
      <c r="C5" t="inlineStr">
        <is>
          <t>Impact Whey Protein 5kg (Sans arôme)</t>
        </is>
      </c>
      <c r="D5" t="inlineStr">
        <is>
          <t>5kg</t>
        </is>
      </c>
      <c r="E5" s="12">
        <f>'Synthèse prix'!H45</f>
        <v/>
      </c>
      <c r="F5" s="12">
        <f>'Synthèse prix'!I45</f>
        <v/>
      </c>
      <c r="G5" s="12">
        <f>'Synthèse prix'!J45</f>
        <v/>
      </c>
      <c r="H5" s="12">
        <f>'Synthèse prix'!N45</f>
        <v/>
      </c>
      <c r="I5" s="12">
        <f>'Synthèse prix'!S45</f>
        <v/>
      </c>
      <c r="J5" s="12">
        <f>'Synthèse prix'!T45</f>
        <v/>
      </c>
      <c r="K5" s="12">
        <f>'Synthèse prix'!U45</f>
        <v/>
      </c>
      <c r="L5" s="12">
        <f>'Synthèse prix'!V45</f>
        <v/>
      </c>
      <c r="M5" s="12">
        <f>'Synthèse prix'!Q45</f>
        <v/>
      </c>
    </row>
    <row r="6">
      <c r="A6" t="n">
        <v>4</v>
      </c>
      <c r="B6">
        <f>'Synthèse prix'!A38</f>
        <v/>
      </c>
      <c r="C6" t="inlineStr">
        <is>
          <t>Pure Whey Protein 2,5kg</t>
        </is>
      </c>
      <c r="D6" t="inlineStr">
        <is>
          <t>2.5kg</t>
        </is>
      </c>
      <c r="E6" s="12">
        <f>'Synthèse prix'!H38</f>
        <v/>
      </c>
      <c r="F6" s="12">
        <f>'Synthèse prix'!I38</f>
        <v/>
      </c>
      <c r="G6" s="12">
        <f>'Synthèse prix'!J38</f>
        <v/>
      </c>
      <c r="H6" s="12">
        <f>'Synthèse prix'!N38</f>
        <v/>
      </c>
      <c r="I6" s="12">
        <f>'Synthèse prix'!S38</f>
        <v/>
      </c>
      <c r="J6" s="12">
        <f>'Synthèse prix'!T38</f>
        <v/>
      </c>
      <c r="K6" s="12">
        <f>'Synthèse prix'!U38</f>
        <v/>
      </c>
      <c r="L6" s="12">
        <f>'Synthèse prix'!V38</f>
        <v/>
      </c>
      <c r="M6" s="12">
        <f>'Synthèse prix'!Q38</f>
        <v/>
      </c>
    </row>
    <row r="7">
      <c r="A7" t="n">
        <v>5</v>
      </c>
      <c r="B7">
        <f>'Synthèse prix'!A39</f>
        <v/>
      </c>
      <c r="C7" t="inlineStr">
        <is>
          <t>Pure Whey Protein 5kg</t>
        </is>
      </c>
      <c r="D7" t="inlineStr">
        <is>
          <t>5kg</t>
        </is>
      </c>
      <c r="E7" s="12">
        <f>'Synthèse prix'!H39</f>
        <v/>
      </c>
      <c r="F7" s="12">
        <f>'Synthèse prix'!I39</f>
        <v/>
      </c>
      <c r="G7" s="12">
        <f>'Synthèse prix'!J39</f>
        <v/>
      </c>
      <c r="H7" s="12">
        <f>'Synthèse prix'!N39</f>
        <v/>
      </c>
      <c r="I7" s="12">
        <f>'Synthèse prix'!S39</f>
        <v/>
      </c>
      <c r="J7" s="12">
        <f>'Synthèse prix'!T39</f>
        <v/>
      </c>
      <c r="K7" s="12">
        <f>'Synthèse prix'!U39</f>
        <v/>
      </c>
      <c r="L7" s="12">
        <f>'Synthèse prix'!V39</f>
        <v/>
      </c>
      <c r="M7" s="12">
        <f>'Synthèse prix'!Q39</f>
        <v/>
      </c>
    </row>
    <row r="8">
      <c r="A8" t="n">
        <v>6</v>
      </c>
      <c r="B8">
        <f>'Synthèse prix'!A37</f>
        <v/>
      </c>
      <c r="C8" t="inlineStr">
        <is>
          <t>Pure Whey Protein 1kg</t>
        </is>
      </c>
      <c r="D8" t="inlineStr">
        <is>
          <t>1kg</t>
        </is>
      </c>
      <c r="E8" s="12">
        <f>'Synthèse prix'!H37</f>
        <v/>
      </c>
      <c r="F8" s="12">
        <f>'Synthèse prix'!I37</f>
        <v/>
      </c>
      <c r="G8" s="12">
        <f>'Synthèse prix'!J37</f>
        <v/>
      </c>
      <c r="H8" s="12">
        <f>'Synthèse prix'!N37</f>
        <v/>
      </c>
      <c r="I8" s="12">
        <f>'Synthèse prix'!S37</f>
        <v/>
      </c>
      <c r="J8" s="12">
        <f>'Synthèse prix'!T37</f>
        <v/>
      </c>
      <c r="K8" s="12">
        <f>'Synthèse prix'!U37</f>
        <v/>
      </c>
      <c r="L8" s="12">
        <f>'Synthèse prix'!V37</f>
        <v/>
      </c>
      <c r="M8" s="12">
        <f>'Synthèse prix'!Q37</f>
        <v/>
      </c>
    </row>
    <row r="9">
      <c r="A9" t="n">
        <v>7</v>
      </c>
      <c r="B9">
        <f>'Synthèse prix'!A36</f>
        <v/>
      </c>
      <c r="C9" t="inlineStr">
        <is>
          <t>Pure Whey Isolate 2,5kg</t>
        </is>
      </c>
      <c r="D9" t="inlineStr">
        <is>
          <t>2.5kg</t>
        </is>
      </c>
      <c r="E9" s="12">
        <f>'Synthèse prix'!H36</f>
        <v/>
      </c>
      <c r="F9" s="12">
        <f>'Synthèse prix'!I36</f>
        <v/>
      </c>
      <c r="G9" s="12">
        <f>'Synthèse prix'!J36</f>
        <v/>
      </c>
      <c r="H9" s="12">
        <f>'Synthèse prix'!N36</f>
        <v/>
      </c>
      <c r="I9" s="12">
        <f>'Synthèse prix'!S36</f>
        <v/>
      </c>
      <c r="J9" s="12">
        <f>'Synthèse prix'!T36</f>
        <v/>
      </c>
      <c r="K9" s="12">
        <f>'Synthèse prix'!U36</f>
        <v/>
      </c>
      <c r="L9" s="12">
        <f>'Synthèse prix'!V36</f>
        <v/>
      </c>
      <c r="M9" s="12">
        <f>'Synthèse prix'!Q36</f>
        <v/>
      </c>
    </row>
    <row r="10">
      <c r="A10" t="n">
        <v>9</v>
      </c>
      <c r="B10">
        <f>'Synthèse prix'!A35</f>
        <v/>
      </c>
      <c r="C10" t="inlineStr">
        <is>
          <t>Pure Whey Isolate 1kg</t>
        </is>
      </c>
      <c r="D10" t="inlineStr">
        <is>
          <t>1kg</t>
        </is>
      </c>
      <c r="E10" s="12">
        <f>'Synthèse prix'!H35</f>
        <v/>
      </c>
      <c r="F10" s="12">
        <f>'Synthèse prix'!I35</f>
        <v/>
      </c>
      <c r="G10" s="12">
        <f>'Synthèse prix'!J35</f>
        <v/>
      </c>
      <c r="H10" s="12">
        <f>'Synthèse prix'!N35</f>
        <v/>
      </c>
      <c r="I10" s="12">
        <f>'Synthèse prix'!S35</f>
        <v/>
      </c>
      <c r="J10" s="12">
        <f>'Synthèse prix'!T35</f>
        <v/>
      </c>
      <c r="K10" s="12">
        <f>'Synthèse prix'!U35</f>
        <v/>
      </c>
      <c r="L10" s="12">
        <f>'Synthèse prix'!V35</f>
        <v/>
      </c>
      <c r="M10" s="12">
        <f>'Synthèse prix'!Q35</f>
        <v/>
      </c>
    </row>
    <row r="11">
      <c r="A11" t="n">
        <v>10</v>
      </c>
      <c r="B11">
        <f>'Synthèse prix'!A42</f>
        <v/>
      </c>
      <c r="C11" t="inlineStr">
        <is>
          <t>Impact Whey Isolate 2,5kg</t>
        </is>
      </c>
      <c r="D11" t="inlineStr">
        <is>
          <t>2.5kg</t>
        </is>
      </c>
      <c r="E11" s="12">
        <f>'Synthèse prix'!H42</f>
        <v/>
      </c>
      <c r="F11" s="12">
        <f>'Synthèse prix'!I42</f>
        <v/>
      </c>
      <c r="G11" s="12">
        <f>'Synthèse prix'!J42</f>
        <v/>
      </c>
      <c r="H11" s="12">
        <f>'Synthèse prix'!N42</f>
        <v/>
      </c>
      <c r="I11" s="12">
        <f>'Synthèse prix'!S42</f>
        <v/>
      </c>
      <c r="J11" s="12">
        <f>'Synthèse prix'!T42</f>
        <v/>
      </c>
      <c r="K11" s="12">
        <f>'Synthèse prix'!U42</f>
        <v/>
      </c>
      <c r="L11" s="12">
        <f>'Synthèse prix'!V42</f>
        <v/>
      </c>
      <c r="M11" s="12">
        <f>'Synthèse prix'!Q42</f>
        <v/>
      </c>
    </row>
    <row r="12">
      <c r="A12" t="n">
        <v>12</v>
      </c>
      <c r="B12">
        <f>'Synthèse prix'!A34</f>
        <v/>
      </c>
      <c r="C12" t="inlineStr">
        <is>
          <t>Pure Whey Protein 2.2kg</t>
        </is>
      </c>
      <c r="D12" t="inlineStr">
        <is>
          <t>2.2kg</t>
        </is>
      </c>
      <c r="E12" s="12">
        <f>'Synthèse prix'!H34</f>
        <v/>
      </c>
      <c r="F12" s="12">
        <f>'Synthèse prix'!I34</f>
        <v/>
      </c>
      <c r="G12" s="12">
        <f>'Synthèse prix'!J34</f>
        <v/>
      </c>
      <c r="H12" s="12">
        <f>'Synthèse prix'!N34</f>
        <v/>
      </c>
      <c r="I12" s="12">
        <f>'Synthèse prix'!S34</f>
        <v/>
      </c>
      <c r="J12" s="12">
        <f>'Synthèse prix'!T34</f>
        <v/>
      </c>
      <c r="K12" s="12">
        <f>'Synthèse prix'!U34</f>
        <v/>
      </c>
      <c r="L12" s="12">
        <f>'Synthèse prix'!V34</f>
        <v/>
      </c>
      <c r="M12" s="12">
        <f>'Synthèse prix'!Q34</f>
        <v/>
      </c>
    </row>
    <row r="13">
      <c r="A13" t="n">
        <v>13</v>
      </c>
      <c r="B13">
        <f>'Synthèse prix'!A41</f>
        <v/>
      </c>
      <c r="C13" t="inlineStr">
        <is>
          <t>Impact Whey Isolate 1kg</t>
        </is>
      </c>
      <c r="D13" t="inlineStr">
        <is>
          <t>1kg</t>
        </is>
      </c>
      <c r="E13" s="12">
        <f>'Synthèse prix'!H41</f>
        <v/>
      </c>
      <c r="F13" s="12">
        <f>'Synthèse prix'!I41</f>
        <v/>
      </c>
      <c r="G13" s="12">
        <f>'Synthèse prix'!J41</f>
        <v/>
      </c>
      <c r="H13" s="12">
        <f>'Synthèse prix'!N41</f>
        <v/>
      </c>
      <c r="I13" s="12">
        <f>'Synthèse prix'!S41</f>
        <v/>
      </c>
      <c r="J13" s="12">
        <f>'Synthèse prix'!T41</f>
        <v/>
      </c>
      <c r="K13" s="12">
        <f>'Synthèse prix'!U41</f>
        <v/>
      </c>
      <c r="L13" s="12">
        <f>'Synthèse prix'!V41</f>
        <v/>
      </c>
      <c r="M13" s="12">
        <f>'Synthèse prix'!Q41</f>
        <v/>
      </c>
    </row>
    <row r="14">
      <c r="A14" t="n">
        <v>14</v>
      </c>
      <c r="B14">
        <f>'Synthèse prix'!A28</f>
        <v/>
      </c>
      <c r="C14" t="inlineStr">
        <is>
          <t>Iso Fusion Protein Complex 2kg</t>
        </is>
      </c>
      <c r="D14" t="inlineStr">
        <is>
          <t>2kg</t>
        </is>
      </c>
      <c r="E14" s="12">
        <f>'Synthèse prix'!H28</f>
        <v/>
      </c>
      <c r="F14" s="12">
        <f>'Synthèse prix'!I28</f>
        <v/>
      </c>
      <c r="G14" s="12">
        <f>'Synthèse prix'!J28</f>
        <v/>
      </c>
      <c r="H14" s="12">
        <f>'Synthèse prix'!N28</f>
        <v/>
      </c>
      <c r="I14" s="12">
        <f>'Synthèse prix'!S28</f>
        <v/>
      </c>
      <c r="J14" s="12">
        <f>'Synthèse prix'!T28</f>
        <v/>
      </c>
      <c r="K14" s="12">
        <f>'Synthèse prix'!U28</f>
        <v/>
      </c>
      <c r="L14" s="12">
        <f>'Synthèse prix'!V28</f>
        <v/>
      </c>
      <c r="M14" s="12">
        <f>'Synthèse prix'!Q28</f>
        <v/>
      </c>
    </row>
    <row r="15">
      <c r="A15" t="n">
        <v>15</v>
      </c>
      <c r="B15">
        <f>'Synthèse prix'!A17</f>
        <v/>
      </c>
      <c r="C15" t="inlineStr">
        <is>
          <t>Whey Native Concentrat 4kg</t>
        </is>
      </c>
      <c r="D15" t="inlineStr">
        <is>
          <t>4kg</t>
        </is>
      </c>
      <c r="E15" s="12">
        <f>'Synthèse prix'!H17</f>
        <v/>
      </c>
      <c r="F15" s="12">
        <f>'Synthèse prix'!I17</f>
        <v/>
      </c>
      <c r="G15" s="12">
        <f>'Synthèse prix'!J17</f>
        <v/>
      </c>
      <c r="H15" s="12">
        <f>'Synthèse prix'!N17</f>
        <v/>
      </c>
      <c r="I15" s="12">
        <f>'Synthèse prix'!S17</f>
        <v/>
      </c>
      <c r="J15" s="12">
        <f>'Synthèse prix'!T17</f>
        <v/>
      </c>
      <c r="K15" s="12">
        <f>'Synthèse prix'!U17</f>
        <v/>
      </c>
      <c r="L15" s="12">
        <f>'Synthèse prix'!V17</f>
        <v/>
      </c>
      <c r="M15" s="12">
        <f>'Synthèse prix'!Q17</f>
        <v/>
      </c>
    </row>
    <row r="16">
      <c r="A16" t="n">
        <v>16</v>
      </c>
      <c r="B16">
        <f>'Synthèse prix'!A31</f>
        <v/>
      </c>
      <c r="C16" t="inlineStr">
        <is>
          <t>Pure Whey Protein 750g</t>
        </is>
      </c>
      <c r="D16" t="inlineStr">
        <is>
          <t>750g</t>
        </is>
      </c>
      <c r="E16" s="12">
        <f>'Synthèse prix'!H31</f>
        <v/>
      </c>
      <c r="F16" s="12">
        <f>'Synthèse prix'!I31</f>
        <v/>
      </c>
      <c r="G16" s="12">
        <f>'Synthèse prix'!J31</f>
        <v/>
      </c>
      <c r="H16" s="12">
        <f>'Synthèse prix'!N31</f>
        <v/>
      </c>
      <c r="I16" s="12">
        <f>'Synthèse prix'!S31</f>
        <v/>
      </c>
      <c r="J16" s="12">
        <f>'Synthèse prix'!T31</f>
        <v/>
      </c>
      <c r="K16" s="12">
        <f>'Synthèse prix'!U31</f>
        <v/>
      </c>
      <c r="L16" s="12">
        <f>'Synthèse prix'!V31</f>
        <v/>
      </c>
      <c r="M16" s="12">
        <f>'Synthèse prix'!Q31</f>
        <v/>
      </c>
    </row>
    <row r="17">
      <c r="A17" t="n">
        <v>18</v>
      </c>
      <c r="B17">
        <f>'Synthèse prix'!A16</f>
        <v/>
      </c>
      <c r="C17" t="inlineStr">
        <is>
          <t>Whey Native Concentrat 2,25kg</t>
        </is>
      </c>
      <c r="D17" t="inlineStr">
        <is>
          <t>2.25kg</t>
        </is>
      </c>
      <c r="E17" s="12">
        <f>'Synthèse prix'!H16</f>
        <v/>
      </c>
      <c r="F17" s="12">
        <f>'Synthèse prix'!I16</f>
        <v/>
      </c>
      <c r="G17" s="12">
        <f>'Synthèse prix'!J16</f>
        <v/>
      </c>
      <c r="H17" s="12">
        <f>'Synthèse prix'!N16</f>
        <v/>
      </c>
      <c r="I17" s="12">
        <f>'Synthèse prix'!S16</f>
        <v/>
      </c>
      <c r="J17" s="12">
        <f>'Synthèse prix'!T16</f>
        <v/>
      </c>
      <c r="K17" s="12">
        <f>'Synthèse prix'!U16</f>
        <v/>
      </c>
      <c r="L17" s="12">
        <f>'Synthèse prix'!V16</f>
        <v/>
      </c>
      <c r="M17" s="12">
        <f>'Synthèse prix'!Q16</f>
        <v/>
      </c>
    </row>
    <row r="18">
      <c r="A18" t="n">
        <v>19</v>
      </c>
      <c r="B18">
        <f>'Synthèse prix'!A33</f>
        <v/>
      </c>
      <c r="C18" t="inlineStr">
        <is>
          <t>Pure Whey Protein 850g</t>
        </is>
      </c>
      <c r="D18" t="inlineStr">
        <is>
          <t>850g</t>
        </is>
      </c>
      <c r="E18" s="12">
        <f>'Synthèse prix'!H33</f>
        <v/>
      </c>
      <c r="F18" s="12">
        <f>'Synthèse prix'!I33</f>
        <v/>
      </c>
      <c r="G18" s="12">
        <f>'Synthèse prix'!J33</f>
        <v/>
      </c>
      <c r="H18" s="12">
        <f>'Synthèse prix'!N33</f>
        <v/>
      </c>
      <c r="I18" s="12">
        <f>'Synthèse prix'!S33</f>
        <v/>
      </c>
      <c r="J18" s="12">
        <f>'Synthèse prix'!T33</f>
        <v/>
      </c>
      <c r="K18" s="12">
        <f>'Synthèse prix'!U33</f>
        <v/>
      </c>
      <c r="L18" s="12">
        <f>'Synthèse prix'!V33</f>
        <v/>
      </c>
      <c r="M18" s="12">
        <f>'Synthèse prix'!Q33</f>
        <v/>
      </c>
    </row>
    <row r="19">
      <c r="A19" t="n">
        <v>20</v>
      </c>
      <c r="B19">
        <f>'Synthèse prix'!A46</f>
        <v/>
      </c>
      <c r="C19" t="inlineStr">
        <is>
          <t>Clear Whey Isolate 875g</t>
        </is>
      </c>
      <c r="D19" t="inlineStr">
        <is>
          <t>875g</t>
        </is>
      </c>
      <c r="E19" s="12">
        <f>'Synthèse prix'!H46</f>
        <v/>
      </c>
      <c r="F19" s="12">
        <f>'Synthèse prix'!I46</f>
        <v/>
      </c>
      <c r="G19" s="12">
        <f>'Synthèse prix'!J46</f>
        <v/>
      </c>
      <c r="H19" s="12">
        <f>'Synthèse prix'!N46</f>
        <v/>
      </c>
      <c r="I19" s="12">
        <f>'Synthèse prix'!S46</f>
        <v/>
      </c>
      <c r="J19" s="12">
        <f>'Synthèse prix'!T46</f>
        <v/>
      </c>
      <c r="K19" s="12">
        <f>'Synthèse prix'!U46</f>
        <v/>
      </c>
      <c r="L19" s="12">
        <f>'Synthèse prix'!V46</f>
        <v/>
      </c>
      <c r="M19" s="12">
        <f>'Synthèse prix'!Q46</f>
        <v/>
      </c>
    </row>
    <row r="20">
      <c r="A20" t="n">
        <v>22</v>
      </c>
      <c r="B20">
        <f>'Synthèse prix'!A15</f>
        <v/>
      </c>
      <c r="C20" t="inlineStr">
        <is>
          <t>Whey Native Concentrat</t>
        </is>
      </c>
      <c r="D20" t="inlineStr">
        <is>
          <t>1kg</t>
        </is>
      </c>
      <c r="E20" s="12">
        <f>'Synthèse prix'!H15</f>
        <v/>
      </c>
      <c r="F20" s="12">
        <f>'Synthèse prix'!I15</f>
        <v/>
      </c>
      <c r="G20" s="12">
        <f>'Synthèse prix'!J15</f>
        <v/>
      </c>
      <c r="H20" s="12">
        <f>'Synthèse prix'!N15</f>
        <v/>
      </c>
      <c r="I20" s="12">
        <f>'Synthèse prix'!S15</f>
        <v/>
      </c>
      <c r="J20" s="12">
        <f>'Synthèse prix'!T15</f>
        <v/>
      </c>
      <c r="K20" s="12">
        <f>'Synthèse prix'!U15</f>
        <v/>
      </c>
      <c r="L20" s="12">
        <f>'Synthèse prix'!V15</f>
        <v/>
      </c>
      <c r="M20" s="12">
        <f>'Synthèse prix'!Q15</f>
        <v/>
      </c>
    </row>
    <row r="21">
      <c r="A21" t="n">
        <v>23</v>
      </c>
      <c r="B21">
        <f>'Synthèse prix'!A40</f>
        <v/>
      </c>
      <c r="C21" t="inlineStr">
        <is>
          <t>Clear Whey Isolate 500g</t>
        </is>
      </c>
      <c r="D21" t="inlineStr">
        <is>
          <t>500g</t>
        </is>
      </c>
      <c r="E21" s="12">
        <f>'Synthèse prix'!H40</f>
        <v/>
      </c>
      <c r="F21" s="12">
        <f>'Synthèse prix'!I40</f>
        <v/>
      </c>
      <c r="G21" s="12">
        <f>'Synthèse prix'!J40</f>
        <v/>
      </c>
      <c r="H21" s="12">
        <f>'Synthèse prix'!N40</f>
        <v/>
      </c>
      <c r="I21" s="12">
        <f>'Synthèse prix'!S40</f>
        <v/>
      </c>
      <c r="J21" s="12">
        <f>'Synthèse prix'!T40</f>
        <v/>
      </c>
      <c r="K21" s="12">
        <f>'Synthèse prix'!U40</f>
        <v/>
      </c>
      <c r="L21" s="12">
        <f>'Synthèse prix'!V40</f>
        <v/>
      </c>
      <c r="M21" s="12">
        <f>'Synthèse prix'!Q40</f>
        <v/>
      </c>
    </row>
    <row r="22">
      <c r="A22" t="n">
        <v>26</v>
      </c>
      <c r="B22">
        <f>'Synthèse prix'!A14</f>
        <v/>
      </c>
      <c r="C22" t="inlineStr">
        <is>
          <t>Whey Native Concentrat 500g</t>
        </is>
      </c>
      <c r="D22" t="inlineStr">
        <is>
          <t>500g</t>
        </is>
      </c>
      <c r="E22" s="12">
        <f>'Synthèse prix'!H14</f>
        <v/>
      </c>
      <c r="F22" s="12">
        <f>'Synthèse prix'!I14</f>
        <v/>
      </c>
      <c r="G22" s="12">
        <f>'Synthèse prix'!J14</f>
        <v/>
      </c>
      <c r="H22" s="12">
        <f>'Synthèse prix'!N14</f>
        <v/>
      </c>
      <c r="I22" s="12">
        <f>'Synthèse prix'!S14</f>
        <v/>
      </c>
      <c r="J22" s="12">
        <f>'Synthèse prix'!T14</f>
        <v/>
      </c>
      <c r="K22" s="12">
        <f>'Synthèse prix'!U14</f>
        <v/>
      </c>
      <c r="L22" s="12">
        <f>'Synthèse prix'!V14</f>
        <v/>
      </c>
      <c r="M22" s="12">
        <f>'Synthèse prix'!Q14</f>
        <v/>
      </c>
    </row>
    <row r="23">
      <c r="A23" t="n">
        <v>28</v>
      </c>
      <c r="B23">
        <f>'Synthèse prix'!A25</f>
        <v/>
      </c>
      <c r="C23" t="inlineStr">
        <is>
          <t>Whey Optimax Protein 1,5kg</t>
        </is>
      </c>
      <c r="D23" t="inlineStr">
        <is>
          <t>1.5kg</t>
        </is>
      </c>
      <c r="E23" s="12">
        <f>'Synthèse prix'!H25</f>
        <v/>
      </c>
      <c r="F23" s="12">
        <f>'Synthèse prix'!I25</f>
        <v/>
      </c>
      <c r="G23" s="12">
        <f>'Synthèse prix'!J25</f>
        <v/>
      </c>
      <c r="H23" s="12">
        <f>'Synthèse prix'!N25</f>
        <v/>
      </c>
      <c r="I23" s="12">
        <f>'Synthèse prix'!S25</f>
        <v/>
      </c>
      <c r="J23" s="12">
        <f>'Synthèse prix'!T25</f>
        <v/>
      </c>
      <c r="K23" s="12">
        <f>'Synthèse prix'!U25</f>
        <v/>
      </c>
      <c r="L23" s="12">
        <f>'Synthèse prix'!V25</f>
        <v/>
      </c>
      <c r="M23" s="12">
        <f>'Synthèse prix'!Q25</f>
        <v/>
      </c>
    </row>
    <row r="24">
      <c r="A24" t="n">
        <v>30</v>
      </c>
      <c r="B24">
        <f>'Synthèse prix'!A29</f>
        <v/>
      </c>
      <c r="C24" t="inlineStr">
        <is>
          <t>Pure Isolate 750g</t>
        </is>
      </c>
      <c r="D24" t="inlineStr">
        <is>
          <t>750g</t>
        </is>
      </c>
      <c r="E24" s="12">
        <f>'Synthèse prix'!H29</f>
        <v/>
      </c>
      <c r="F24" s="12">
        <f>'Synthèse prix'!I29</f>
        <v/>
      </c>
      <c r="G24" s="12">
        <f>'Synthèse prix'!J29</f>
        <v/>
      </c>
      <c r="H24" s="12">
        <f>'Synthèse prix'!N29</f>
        <v/>
      </c>
      <c r="I24" s="12">
        <f>'Synthèse prix'!S29</f>
        <v/>
      </c>
      <c r="J24" s="12">
        <f>'Synthèse prix'!T29</f>
        <v/>
      </c>
      <c r="K24" s="12">
        <f>'Synthèse prix'!U29</f>
        <v/>
      </c>
      <c r="L24" s="12">
        <f>'Synthèse prix'!V29</f>
        <v/>
      </c>
      <c r="M24" s="12">
        <f>'Synthèse prix'!Q29</f>
        <v/>
      </c>
    </row>
    <row r="25">
      <c r="A25" t="n">
        <v>31</v>
      </c>
      <c r="B25">
        <f>'Synthèse prix'!A26</f>
        <v/>
      </c>
      <c r="C25" t="inlineStr">
        <is>
          <t>Whey Zero Protéine 2kg</t>
        </is>
      </c>
      <c r="D25" t="inlineStr">
        <is>
          <t>2kg</t>
        </is>
      </c>
      <c r="E25" s="12">
        <f>'Synthèse prix'!H26</f>
        <v/>
      </c>
      <c r="F25" s="12">
        <f>'Synthèse prix'!I26</f>
        <v/>
      </c>
      <c r="G25" s="12">
        <f>'Synthèse prix'!J26</f>
        <v/>
      </c>
      <c r="H25" s="12">
        <f>'Synthèse prix'!N26</f>
        <v/>
      </c>
      <c r="I25" s="12">
        <f>'Synthèse prix'!S26</f>
        <v/>
      </c>
      <c r="J25" s="12">
        <f>'Synthèse prix'!T26</f>
        <v/>
      </c>
      <c r="K25" s="12">
        <f>'Synthèse prix'!U26</f>
        <v/>
      </c>
      <c r="L25" s="12">
        <f>'Synthèse prix'!V26</f>
        <v/>
      </c>
      <c r="M25" s="12">
        <f>'Synthèse prix'!Q26</f>
        <v/>
      </c>
    </row>
    <row r="26">
      <c r="A26" s="20" t="n">
        <v>32</v>
      </c>
      <c r="B26" s="20">
        <f>'Synthèse prix'!A4</f>
        <v/>
      </c>
      <c r="C26" s="20" t="inlineStr">
        <is>
          <t>Whey Isolate</t>
        </is>
      </c>
      <c r="D26" s="20" t="inlineStr">
        <is>
          <t>750g</t>
        </is>
      </c>
      <c r="E26" s="20">
        <f>'Synthèse prix'!H4</f>
        <v/>
      </c>
      <c r="F26" s="20">
        <f>'Synthèse prix'!I4</f>
        <v/>
      </c>
      <c r="G26" s="20">
        <f>'Synthèse prix'!J4</f>
        <v/>
      </c>
      <c r="H26" s="20">
        <f>'Synthèse prix'!N4</f>
        <v/>
      </c>
      <c r="I26" s="20">
        <f>'Synthèse prix'!S4</f>
        <v/>
      </c>
      <c r="J26" s="20">
        <f>'Synthèse prix'!T4</f>
        <v/>
      </c>
      <c r="K26" s="20">
        <f>'Synthèse prix'!U4</f>
        <v/>
      </c>
      <c r="L26" s="20">
        <f>'Synthèse prix'!V4</f>
        <v/>
      </c>
      <c r="M26" s="20">
        <f>'Synthèse prix'!Q4</f>
        <v/>
      </c>
    </row>
    <row r="27">
      <c r="A27" t="n">
        <v>34</v>
      </c>
      <c r="B27">
        <f>'Synthèse prix'!A32</f>
        <v/>
      </c>
      <c r="C27" t="inlineStr">
        <is>
          <t>Mega Whey Creatine Complex 750g</t>
        </is>
      </c>
      <c r="D27" t="inlineStr">
        <is>
          <t>750g</t>
        </is>
      </c>
      <c r="E27" s="12">
        <f>'Synthèse prix'!H32</f>
        <v/>
      </c>
      <c r="F27" s="12">
        <f>'Synthèse prix'!I32</f>
        <v/>
      </c>
      <c r="G27" s="12">
        <f>'Synthèse prix'!J32</f>
        <v/>
      </c>
      <c r="H27" s="12">
        <f>'Synthèse prix'!N32</f>
        <v/>
      </c>
      <c r="I27" s="12">
        <f>'Synthèse prix'!S32</f>
        <v/>
      </c>
      <c r="J27" s="12">
        <f>'Synthèse prix'!T32</f>
        <v/>
      </c>
      <c r="K27" s="12">
        <f>'Synthèse prix'!U32</f>
        <v/>
      </c>
      <c r="L27" s="12">
        <f>'Synthèse prix'!V32</f>
        <v/>
      </c>
      <c r="M27" s="12">
        <f>'Synthèse prix'!Q32</f>
        <v/>
      </c>
    </row>
    <row r="28">
      <c r="A28" t="n">
        <v>35</v>
      </c>
      <c r="B28">
        <f>'Synthèse prix'!A13</f>
        <v/>
      </c>
      <c r="C28" t="inlineStr">
        <is>
          <t>Whey Native Isolate 4kg</t>
        </is>
      </c>
      <c r="D28" t="inlineStr">
        <is>
          <t>4kg</t>
        </is>
      </c>
      <c r="E28" s="12">
        <f>'Synthèse prix'!H13</f>
        <v/>
      </c>
      <c r="F28" s="12">
        <f>'Synthèse prix'!I13</f>
        <v/>
      </c>
      <c r="G28" s="12">
        <f>'Synthèse prix'!J13</f>
        <v/>
      </c>
      <c r="H28" s="12">
        <f>'Synthèse prix'!N13</f>
        <v/>
      </c>
      <c r="I28" s="12">
        <f>'Synthèse prix'!S13</f>
        <v/>
      </c>
      <c r="J28" s="12">
        <f>'Synthèse prix'!T13</f>
        <v/>
      </c>
      <c r="K28" s="12">
        <f>'Synthèse prix'!U13</f>
        <v/>
      </c>
      <c r="L28" s="12">
        <f>'Synthèse prix'!V13</f>
        <v/>
      </c>
      <c r="M28" s="12">
        <f>'Synthèse prix'!Q13</f>
        <v/>
      </c>
    </row>
    <row r="29">
      <c r="A29" t="n">
        <v>36</v>
      </c>
      <c r="B29">
        <f>'Synthèse prix'!A23</f>
        <v/>
      </c>
      <c r="C29" t="inlineStr">
        <is>
          <t>Iso Zero 100% Whey Protéine 2kg</t>
        </is>
      </c>
      <c r="D29" t="inlineStr">
        <is>
          <t>2kg</t>
        </is>
      </c>
      <c r="E29" s="12">
        <f>'Synthèse prix'!H23</f>
        <v/>
      </c>
      <c r="F29" s="12">
        <f>'Synthèse prix'!I23</f>
        <v/>
      </c>
      <c r="G29" s="12">
        <f>'Synthèse prix'!J23</f>
        <v/>
      </c>
      <c r="H29" s="12">
        <f>'Synthèse prix'!N23</f>
        <v/>
      </c>
      <c r="I29" s="12">
        <f>'Synthèse prix'!S23</f>
        <v/>
      </c>
      <c r="J29" s="12">
        <f>'Synthèse prix'!T23</f>
        <v/>
      </c>
      <c r="K29" s="12">
        <f>'Synthèse prix'!U23</f>
        <v/>
      </c>
      <c r="L29" s="12">
        <f>'Synthèse prix'!V23</f>
        <v/>
      </c>
      <c r="M29" s="12">
        <f>'Synthèse prix'!Q23</f>
        <v/>
      </c>
    </row>
    <row r="30">
      <c r="A30" t="n">
        <v>37</v>
      </c>
      <c r="B30">
        <f>'Synthèse prix'!A30</f>
        <v/>
      </c>
      <c r="C30" t="inlineStr">
        <is>
          <t>Pure Isolate Premium 750g</t>
        </is>
      </c>
      <c r="D30" t="inlineStr">
        <is>
          <t>750g</t>
        </is>
      </c>
      <c r="E30" s="12">
        <f>'Synthèse prix'!H30</f>
        <v/>
      </c>
      <c r="F30" s="12">
        <f>'Synthèse prix'!I30</f>
        <v/>
      </c>
      <c r="G30" s="12">
        <f>'Synthèse prix'!J30</f>
        <v/>
      </c>
      <c r="H30" s="12">
        <f>'Synthèse prix'!N30</f>
        <v/>
      </c>
      <c r="I30" s="12">
        <f>'Synthèse prix'!S30</f>
        <v/>
      </c>
      <c r="J30" s="12">
        <f>'Synthèse prix'!T30</f>
        <v/>
      </c>
      <c r="K30" s="12">
        <f>'Synthèse prix'!U30</f>
        <v/>
      </c>
      <c r="L30" s="12">
        <f>'Synthèse prix'!V30</f>
        <v/>
      </c>
      <c r="M30" s="12">
        <f>'Synthèse prix'!Q30</f>
        <v/>
      </c>
    </row>
    <row r="31">
      <c r="A31" t="n">
        <v>39</v>
      </c>
      <c r="B31">
        <f>'Synthèse prix'!A20</f>
        <v/>
      </c>
      <c r="C31" t="inlineStr">
        <is>
          <t>Whey Native 810g</t>
        </is>
      </c>
      <c r="D31" t="inlineStr">
        <is>
          <t>810g</t>
        </is>
      </c>
      <c r="E31" s="12">
        <f>'Synthèse prix'!H20</f>
        <v/>
      </c>
      <c r="F31" s="12">
        <f>'Synthèse prix'!I20</f>
        <v/>
      </c>
      <c r="G31" s="12">
        <f>'Synthèse prix'!J20</f>
        <v/>
      </c>
      <c r="H31" s="12">
        <f>'Synthèse prix'!N20</f>
        <v/>
      </c>
      <c r="I31" s="12">
        <f>'Synthèse prix'!S20</f>
        <v/>
      </c>
      <c r="J31" s="12">
        <f>'Synthèse prix'!T20</f>
        <v/>
      </c>
      <c r="K31" s="12">
        <f>'Synthèse prix'!U20</f>
        <v/>
      </c>
      <c r="L31" s="12">
        <f>'Synthèse prix'!V20</f>
        <v/>
      </c>
      <c r="M31" s="12">
        <f>'Synthèse prix'!Q20</f>
        <v/>
      </c>
    </row>
    <row r="32">
      <c r="A32" s="20" t="n">
        <v>40</v>
      </c>
      <c r="B32" s="20">
        <f>'Synthèse prix'!A2</f>
        <v/>
      </c>
      <c r="C32" s="20" t="inlineStr">
        <is>
          <t>Whey Isolate</t>
        </is>
      </c>
      <c r="D32" s="20" t="inlineStr">
        <is>
          <t>750g</t>
        </is>
      </c>
      <c r="E32" s="20">
        <f>'Synthèse prix'!H2</f>
        <v/>
      </c>
      <c r="F32" s="20">
        <f>'Synthèse prix'!I2</f>
        <v/>
      </c>
      <c r="G32" s="20">
        <f>'Synthèse prix'!J2</f>
        <v/>
      </c>
      <c r="H32" s="20">
        <f>'Synthèse prix'!N2</f>
        <v/>
      </c>
      <c r="I32" s="20">
        <f>'Synthèse prix'!S2</f>
        <v/>
      </c>
      <c r="J32" s="20">
        <f>'Synthèse prix'!T2</f>
        <v/>
      </c>
      <c r="K32" s="20">
        <f>'Synthèse prix'!U2</f>
        <v/>
      </c>
      <c r="L32" s="20">
        <f>'Synthèse prix'!V2</f>
        <v/>
      </c>
      <c r="M32" s="20">
        <f>'Synthèse prix'!Q2</f>
        <v/>
      </c>
    </row>
    <row r="33">
      <c r="A33" s="20" t="n">
        <v>41</v>
      </c>
      <c r="B33" s="20">
        <f>'Synthèse prix'!A3</f>
        <v/>
      </c>
      <c r="C33" s="20" t="inlineStr">
        <is>
          <t>Whey Isolate</t>
        </is>
      </c>
      <c r="D33" s="20" t="inlineStr">
        <is>
          <t>750g</t>
        </is>
      </c>
      <c r="E33" s="20">
        <f>'Synthèse prix'!H3</f>
        <v/>
      </c>
      <c r="F33" s="20">
        <f>'Synthèse prix'!I3</f>
        <v/>
      </c>
      <c r="G33" s="20">
        <f>'Synthèse prix'!J3</f>
        <v/>
      </c>
      <c r="H33" s="20">
        <f>'Synthèse prix'!N3</f>
        <v/>
      </c>
      <c r="I33" s="20">
        <f>'Synthèse prix'!S3</f>
        <v/>
      </c>
      <c r="J33" s="20">
        <f>'Synthèse prix'!T3</f>
        <v/>
      </c>
      <c r="K33" s="20">
        <f>'Synthèse prix'!U3</f>
        <v/>
      </c>
      <c r="L33" s="20">
        <f>'Synthèse prix'!V3</f>
        <v/>
      </c>
      <c r="M33" s="20">
        <f>'Synthèse prix'!Q3</f>
        <v/>
      </c>
    </row>
    <row r="34">
      <c r="A34" t="n">
        <v>43</v>
      </c>
      <c r="B34">
        <f>'Synthèse prix'!A9</f>
        <v/>
      </c>
      <c r="C34" t="inlineStr">
        <is>
          <t>Whey Isolat Native 4kg</t>
        </is>
      </c>
      <c r="D34" t="inlineStr">
        <is>
          <t>4kg</t>
        </is>
      </c>
      <c r="E34" s="12">
        <f>'Synthèse prix'!H9</f>
        <v/>
      </c>
      <c r="F34" s="12">
        <f>'Synthèse prix'!I9</f>
        <v/>
      </c>
      <c r="G34" s="12">
        <f>'Synthèse prix'!J9</f>
        <v/>
      </c>
      <c r="H34" s="12">
        <f>'Synthèse prix'!N9</f>
        <v/>
      </c>
      <c r="I34" s="12">
        <f>'Synthèse prix'!S9</f>
        <v/>
      </c>
      <c r="J34" s="12">
        <f>'Synthèse prix'!T9</f>
        <v/>
      </c>
      <c r="K34" s="12">
        <f>'Synthèse prix'!U9</f>
        <v/>
      </c>
      <c r="L34" s="12">
        <f>'Synthèse prix'!V9</f>
        <v/>
      </c>
      <c r="M34" s="12">
        <f>'Synthèse prix'!Q9</f>
        <v/>
      </c>
    </row>
    <row r="35">
      <c r="A35" t="n">
        <v>44</v>
      </c>
      <c r="B35">
        <f>'Synthèse prix'!A19</f>
        <v/>
      </c>
      <c r="C35" t="inlineStr">
        <is>
          <t>Whey Concentrée Native 900g</t>
        </is>
      </c>
      <c r="D35" t="inlineStr">
        <is>
          <t>900g</t>
        </is>
      </c>
      <c r="E35" s="12">
        <f>'Synthèse prix'!H19</f>
        <v/>
      </c>
      <c r="F35" s="12">
        <f>'Synthèse prix'!I19</f>
        <v/>
      </c>
      <c r="G35" s="12">
        <f>'Synthèse prix'!J19</f>
        <v/>
      </c>
      <c r="H35" s="12">
        <f>'Synthèse prix'!N19</f>
        <v/>
      </c>
      <c r="I35" s="12">
        <f>'Synthèse prix'!S19</f>
        <v/>
      </c>
      <c r="J35" s="12">
        <f>'Synthèse prix'!T19</f>
        <v/>
      </c>
      <c r="K35" s="12">
        <f>'Synthèse prix'!U19</f>
        <v/>
      </c>
      <c r="L35" s="12">
        <f>'Synthèse prix'!V19</f>
        <v/>
      </c>
      <c r="M35" s="12">
        <f>'Synthèse prix'!Q19</f>
        <v/>
      </c>
    </row>
    <row r="36">
      <c r="A36" t="n">
        <v>45</v>
      </c>
      <c r="B36">
        <f>'Synthèse prix'!A51</f>
        <v/>
      </c>
      <c r="C36" t="inlineStr">
        <is>
          <t>100% Pure Whey 2000g</t>
        </is>
      </c>
      <c r="D36" t="inlineStr">
        <is>
          <t>2kg</t>
        </is>
      </c>
      <c r="E36" s="12">
        <f>'Synthèse prix'!H51</f>
        <v/>
      </c>
      <c r="F36" s="12">
        <f>'Synthèse prix'!I51</f>
        <v/>
      </c>
      <c r="G36" s="12">
        <f>'Synthèse prix'!J51</f>
        <v/>
      </c>
      <c r="H36" s="12">
        <f>'Synthèse prix'!N51</f>
        <v/>
      </c>
      <c r="I36" s="12">
        <f>'Synthèse prix'!S51</f>
        <v/>
      </c>
      <c r="J36" s="12">
        <f>'Synthèse prix'!T51</f>
        <v/>
      </c>
      <c r="K36" s="12">
        <f>'Synthèse prix'!U51</f>
        <v/>
      </c>
      <c r="L36" s="12">
        <f>'Synthèse prix'!V51</f>
        <v/>
      </c>
      <c r="M36" s="12">
        <f>'Synthèse prix'!Q51</f>
        <v/>
      </c>
    </row>
    <row r="37">
      <c r="A37" t="n">
        <v>46</v>
      </c>
      <c r="B37">
        <f>'Synthèse prix'!A12</f>
        <v/>
      </c>
      <c r="C37" t="inlineStr">
        <is>
          <t>Whey Native Isolate 2,25kg</t>
        </is>
      </c>
      <c r="D37" t="inlineStr">
        <is>
          <t>2.25kg</t>
        </is>
      </c>
      <c r="E37" s="12">
        <f>'Synthèse prix'!H12</f>
        <v/>
      </c>
      <c r="F37" s="12">
        <f>'Synthèse prix'!I12</f>
        <v/>
      </c>
      <c r="G37" s="12">
        <f>'Synthèse prix'!J12</f>
        <v/>
      </c>
      <c r="H37" s="12">
        <f>'Synthèse prix'!N12</f>
        <v/>
      </c>
      <c r="I37" s="12">
        <f>'Synthèse prix'!S12</f>
        <v/>
      </c>
      <c r="J37" s="12">
        <f>'Synthèse prix'!T12</f>
        <v/>
      </c>
      <c r="K37" s="12">
        <f>'Synthèse prix'!U12</f>
        <v/>
      </c>
      <c r="L37" s="12">
        <f>'Synthèse prix'!V12</f>
        <v/>
      </c>
      <c r="M37" s="12">
        <f>'Synthèse prix'!Q12</f>
        <v/>
      </c>
    </row>
    <row r="38">
      <c r="A38" t="n">
        <v>49</v>
      </c>
      <c r="B38">
        <f>'Synthèse prix'!A22</f>
        <v/>
      </c>
      <c r="C38" t="inlineStr">
        <is>
          <t>Iso Zero 100% Whey Protéine 1,5kg</t>
        </is>
      </c>
      <c r="D38" t="inlineStr">
        <is>
          <t>1.5kg</t>
        </is>
      </c>
      <c r="E38" s="12">
        <f>'Synthèse prix'!H22</f>
        <v/>
      </c>
      <c r="F38" s="12">
        <f>'Synthèse prix'!I22</f>
        <v/>
      </c>
      <c r="G38" s="12">
        <f>'Synthèse prix'!J22</f>
        <v/>
      </c>
      <c r="H38" s="12">
        <f>'Synthèse prix'!N22</f>
        <v/>
      </c>
      <c r="I38" s="12">
        <f>'Synthèse prix'!S22</f>
        <v/>
      </c>
      <c r="J38" s="12">
        <f>'Synthèse prix'!T22</f>
        <v/>
      </c>
      <c r="K38" s="12">
        <f>'Synthèse prix'!U22</f>
        <v/>
      </c>
      <c r="L38" s="12">
        <f>'Synthèse prix'!V22</f>
        <v/>
      </c>
      <c r="M38" s="12">
        <f>'Synthèse prix'!Q22</f>
        <v/>
      </c>
    </row>
    <row r="39">
      <c r="A39" t="n">
        <v>50</v>
      </c>
      <c r="B39">
        <f>'Synthèse prix'!A18</f>
        <v/>
      </c>
      <c r="C39" t="inlineStr">
        <is>
          <t>Whey Isolate Native 900g</t>
        </is>
      </c>
      <c r="D39" t="inlineStr">
        <is>
          <t>900g</t>
        </is>
      </c>
      <c r="E39" s="12">
        <f>'Synthèse prix'!H18</f>
        <v/>
      </c>
      <c r="F39" s="12">
        <f>'Synthèse prix'!I18</f>
        <v/>
      </c>
      <c r="G39" s="12">
        <f>'Synthèse prix'!J18</f>
        <v/>
      </c>
      <c r="H39" s="12">
        <f>'Synthèse prix'!N18</f>
        <v/>
      </c>
      <c r="I39" s="12">
        <f>'Synthèse prix'!S18</f>
        <v/>
      </c>
      <c r="J39" s="12">
        <f>'Synthèse prix'!T18</f>
        <v/>
      </c>
      <c r="K39" s="12">
        <f>'Synthèse prix'!U18</f>
        <v/>
      </c>
      <c r="L39" s="12">
        <f>'Synthèse prix'!V18</f>
        <v/>
      </c>
      <c r="M39" s="12">
        <f>'Synthèse prix'!Q18</f>
        <v/>
      </c>
    </row>
    <row r="40">
      <c r="A40" t="n">
        <v>51</v>
      </c>
      <c r="B40">
        <f>'Synthèse prix'!A48</f>
        <v/>
      </c>
      <c r="C40" t="inlineStr">
        <is>
          <t>Iso Whey Zero 1816g</t>
        </is>
      </c>
      <c r="D40" t="inlineStr">
        <is>
          <t>1.816kg</t>
        </is>
      </c>
      <c r="E40" s="12">
        <f>'Synthèse prix'!H48</f>
        <v/>
      </c>
      <c r="F40" s="12">
        <f>'Synthèse prix'!I48</f>
        <v/>
      </c>
      <c r="G40" s="12">
        <f>'Synthèse prix'!J48</f>
        <v/>
      </c>
      <c r="H40" s="12">
        <f>'Synthèse prix'!N48</f>
        <v/>
      </c>
      <c r="I40" s="12">
        <f>'Synthèse prix'!S48</f>
        <v/>
      </c>
      <c r="J40" s="12">
        <f>'Synthèse prix'!T48</f>
        <v/>
      </c>
      <c r="K40" s="12">
        <f>'Synthèse prix'!U48</f>
        <v/>
      </c>
      <c r="L40" s="12">
        <f>'Synthèse prix'!V48</f>
        <v/>
      </c>
      <c r="M40" s="12">
        <f>'Synthèse prix'!Q48</f>
        <v/>
      </c>
    </row>
    <row r="41">
      <c r="A41" t="n">
        <v>52</v>
      </c>
      <c r="B41">
        <f>'Synthèse prix'!A27</f>
        <v/>
      </c>
      <c r="C41" t="inlineStr">
        <is>
          <t>Iso Fusion Protein Complex 750g</t>
        </is>
      </c>
      <c r="D41" t="inlineStr">
        <is>
          <t>750g</t>
        </is>
      </c>
      <c r="E41" s="12">
        <f>'Synthèse prix'!H27</f>
        <v/>
      </c>
      <c r="F41" s="12">
        <f>'Synthèse prix'!I27</f>
        <v/>
      </c>
      <c r="G41" s="12">
        <f>'Synthèse prix'!J27</f>
        <v/>
      </c>
      <c r="H41" s="12">
        <f>'Synthèse prix'!N27</f>
        <v/>
      </c>
      <c r="I41" s="12">
        <f>'Synthèse prix'!S27</f>
        <v/>
      </c>
      <c r="J41" s="12">
        <f>'Synthèse prix'!T27</f>
        <v/>
      </c>
      <c r="K41" s="12">
        <f>'Synthèse prix'!U27</f>
        <v/>
      </c>
      <c r="L41" s="12">
        <f>'Synthèse prix'!V27</f>
        <v/>
      </c>
      <c r="M41" s="12">
        <f>'Synthèse prix'!Q27</f>
        <v/>
      </c>
    </row>
    <row r="42">
      <c r="A42" t="n">
        <v>53</v>
      </c>
      <c r="B42">
        <f>'Synthèse prix'!A8</f>
        <v/>
      </c>
      <c r="C42" t="inlineStr">
        <is>
          <t>Whey Isolat Native 2kg</t>
        </is>
      </c>
      <c r="D42" t="inlineStr">
        <is>
          <t>2kg</t>
        </is>
      </c>
      <c r="E42" s="12">
        <f>'Synthèse prix'!H8</f>
        <v/>
      </c>
      <c r="F42" s="12">
        <f>'Synthèse prix'!I8</f>
        <v/>
      </c>
      <c r="G42" s="12">
        <f>'Synthèse prix'!J8</f>
        <v/>
      </c>
      <c r="H42" s="12">
        <f>'Synthèse prix'!N8</f>
        <v/>
      </c>
      <c r="I42" s="12">
        <f>'Synthèse prix'!S8</f>
        <v/>
      </c>
      <c r="J42" s="12">
        <f>'Synthèse prix'!T8</f>
        <v/>
      </c>
      <c r="K42" s="12">
        <f>'Synthèse prix'!U8</f>
        <v/>
      </c>
      <c r="L42" s="12">
        <f>'Synthèse prix'!V8</f>
        <v/>
      </c>
      <c r="M42" s="12">
        <f>'Synthèse prix'!Q8</f>
        <v/>
      </c>
    </row>
    <row r="43">
      <c r="A43" t="n">
        <v>54</v>
      </c>
      <c r="B43">
        <f>'Synthèse prix'!A7</f>
        <v/>
      </c>
      <c r="C43" t="inlineStr">
        <is>
          <t>Whey Isolat Native 750g</t>
        </is>
      </c>
      <c r="D43" t="inlineStr">
        <is>
          <t>750g</t>
        </is>
      </c>
      <c r="E43" s="12">
        <f>'Synthèse prix'!H7</f>
        <v/>
      </c>
      <c r="F43" s="12">
        <f>'Synthèse prix'!I7</f>
        <v/>
      </c>
      <c r="G43" s="12">
        <f>'Synthèse prix'!J7</f>
        <v/>
      </c>
      <c r="H43" s="12">
        <f>'Synthèse prix'!N7</f>
        <v/>
      </c>
      <c r="I43" s="12">
        <f>'Synthèse prix'!S7</f>
        <v/>
      </c>
      <c r="J43" s="12">
        <f>'Synthèse prix'!T7</f>
        <v/>
      </c>
      <c r="K43" s="12">
        <f>'Synthèse prix'!U7</f>
        <v/>
      </c>
      <c r="L43" s="12">
        <f>'Synthèse prix'!V7</f>
        <v/>
      </c>
      <c r="M43" s="12">
        <f>'Synthèse prix'!Q7</f>
        <v/>
      </c>
    </row>
    <row r="44">
      <c r="A44" t="n">
        <v>55</v>
      </c>
      <c r="B44">
        <f>'Synthèse prix'!A11</f>
        <v/>
      </c>
      <c r="C44" t="inlineStr">
        <is>
          <t>Whey Native Isolate</t>
        </is>
      </c>
      <c r="D44" t="inlineStr">
        <is>
          <t>1kg</t>
        </is>
      </c>
      <c r="E44" s="12">
        <f>'Synthèse prix'!H11</f>
        <v/>
      </c>
      <c r="F44" s="12">
        <f>'Synthèse prix'!I11</f>
        <v/>
      </c>
      <c r="G44" s="12">
        <f>'Synthèse prix'!J11</f>
        <v/>
      </c>
      <c r="H44" s="12">
        <f>'Synthèse prix'!N11</f>
        <v/>
      </c>
      <c r="I44" s="12">
        <f>'Synthèse prix'!S11</f>
        <v/>
      </c>
      <c r="J44" s="12">
        <f>'Synthèse prix'!T11</f>
        <v/>
      </c>
      <c r="K44" s="12">
        <f>'Synthèse prix'!U11</f>
        <v/>
      </c>
      <c r="L44" s="12">
        <f>'Synthèse prix'!V11</f>
        <v/>
      </c>
      <c r="M44" s="12">
        <f>'Synthèse prix'!Q11</f>
        <v/>
      </c>
    </row>
    <row r="45">
      <c r="A45" t="n">
        <v>56</v>
      </c>
      <c r="B45">
        <f>'Synthèse prix'!A50</f>
        <v/>
      </c>
      <c r="C45" t="inlineStr">
        <is>
          <t>100% Pure Whey 1000g</t>
        </is>
      </c>
      <c r="D45" t="inlineStr">
        <is>
          <t>1kg</t>
        </is>
      </c>
      <c r="E45" s="12">
        <f>'Synthèse prix'!H50</f>
        <v/>
      </c>
      <c r="F45" s="12">
        <f>'Synthèse prix'!I50</f>
        <v/>
      </c>
      <c r="G45" s="12">
        <f>'Synthèse prix'!J50</f>
        <v/>
      </c>
      <c r="H45" s="12">
        <f>'Synthèse prix'!N50</f>
        <v/>
      </c>
      <c r="I45" s="12">
        <f>'Synthèse prix'!S50</f>
        <v/>
      </c>
      <c r="J45" s="12">
        <f>'Synthèse prix'!T50</f>
        <v/>
      </c>
      <c r="K45" s="12">
        <f>'Synthèse prix'!U50</f>
        <v/>
      </c>
      <c r="L45" s="12">
        <f>'Synthèse prix'!V50</f>
        <v/>
      </c>
      <c r="M45" s="12">
        <f>'Synthèse prix'!Q50</f>
        <v/>
      </c>
    </row>
    <row r="46">
      <c r="A46" t="n">
        <v>57</v>
      </c>
      <c r="B46">
        <f>'Synthèse prix'!A10</f>
        <v/>
      </c>
      <c r="C46" t="inlineStr">
        <is>
          <t>Whey Native Isolate 500g</t>
        </is>
      </c>
      <c r="D46" t="inlineStr">
        <is>
          <t>500g</t>
        </is>
      </c>
      <c r="E46" s="12">
        <f>'Synthèse prix'!H10</f>
        <v/>
      </c>
      <c r="F46" s="12">
        <f>'Synthèse prix'!I10</f>
        <v/>
      </c>
      <c r="G46" s="12">
        <f>'Synthèse prix'!J10</f>
        <v/>
      </c>
      <c r="H46" s="12">
        <f>'Synthèse prix'!N10</f>
        <v/>
      </c>
      <c r="I46" s="12">
        <f>'Synthèse prix'!S10</f>
        <v/>
      </c>
      <c r="J46" s="12">
        <f>'Synthèse prix'!T10</f>
        <v/>
      </c>
      <c r="K46" s="12">
        <f>'Synthèse prix'!U10</f>
        <v/>
      </c>
      <c r="L46" s="12">
        <f>'Synthèse prix'!V10</f>
        <v/>
      </c>
      <c r="M46" s="12">
        <f>'Synthèse prix'!Q10</f>
        <v/>
      </c>
    </row>
    <row r="47">
      <c r="A47" t="n">
        <v>58</v>
      </c>
      <c r="B47">
        <f>'Synthèse prix'!A21</f>
        <v/>
      </c>
      <c r="C47" t="inlineStr">
        <is>
          <t>Iso Zero 100% Whey Protéine 500g</t>
        </is>
      </c>
      <c r="D47" t="inlineStr">
        <is>
          <t>500g</t>
        </is>
      </c>
      <c r="E47" s="12">
        <f>'Synthèse prix'!H21</f>
        <v/>
      </c>
      <c r="F47" s="12">
        <f>'Synthèse prix'!I21</f>
        <v/>
      </c>
      <c r="G47" s="12">
        <f>'Synthèse prix'!J21</f>
        <v/>
      </c>
      <c r="H47" s="12">
        <f>'Synthèse prix'!N21</f>
        <v/>
      </c>
      <c r="I47" s="12">
        <f>'Synthèse prix'!S21</f>
        <v/>
      </c>
      <c r="J47" s="12">
        <f>'Synthèse prix'!T21</f>
        <v/>
      </c>
      <c r="K47" s="12">
        <f>'Synthèse prix'!U21</f>
        <v/>
      </c>
      <c r="L47" s="12">
        <f>'Synthèse prix'!V21</f>
        <v/>
      </c>
      <c r="M47" s="12">
        <f>'Synthèse prix'!Q21</f>
        <v/>
      </c>
    </row>
    <row r="48">
      <c r="A48" t="n">
        <v>59</v>
      </c>
      <c r="B48">
        <f>'Synthèse prix'!A24</f>
        <v/>
      </c>
      <c r="C48" t="inlineStr">
        <is>
          <t>Whey Optimax Protein 500g</t>
        </is>
      </c>
      <c r="D48" t="inlineStr">
        <is>
          <t>500g</t>
        </is>
      </c>
      <c r="E48" s="12">
        <f>'Synthèse prix'!H24</f>
        <v/>
      </c>
      <c r="F48" s="12">
        <f>'Synthèse prix'!I24</f>
        <v/>
      </c>
      <c r="G48" s="12">
        <f>'Synthèse prix'!J24</f>
        <v/>
      </c>
      <c r="H48" s="12">
        <f>'Synthèse prix'!N24</f>
        <v/>
      </c>
      <c r="I48" s="12">
        <f>'Synthèse prix'!S24</f>
        <v/>
      </c>
      <c r="J48" s="12">
        <f>'Synthèse prix'!T24</f>
        <v/>
      </c>
      <c r="K48" s="12">
        <f>'Synthèse prix'!U24</f>
        <v/>
      </c>
      <c r="L48" s="12">
        <f>'Synthèse prix'!V24</f>
        <v/>
      </c>
      <c r="M48" s="12">
        <f>'Synthèse prix'!Q24</f>
        <v/>
      </c>
    </row>
    <row r="49">
      <c r="A49" t="n">
        <v>60</v>
      </c>
      <c r="B49">
        <f>'Synthèse prix'!A47</f>
        <v/>
      </c>
      <c r="C49" t="inlineStr">
        <is>
          <t>Iso Whey Zero 908g</t>
        </is>
      </c>
      <c r="D49" t="inlineStr">
        <is>
          <t>908g</t>
        </is>
      </c>
      <c r="E49" s="12">
        <f>'Synthèse prix'!H47</f>
        <v/>
      </c>
      <c r="F49" s="12">
        <f>'Synthèse prix'!I47</f>
        <v/>
      </c>
      <c r="G49" s="12">
        <f>'Synthèse prix'!J47</f>
        <v/>
      </c>
      <c r="H49" s="12">
        <f>'Synthèse prix'!N47</f>
        <v/>
      </c>
      <c r="I49" s="12">
        <f>'Synthèse prix'!S47</f>
        <v/>
      </c>
      <c r="J49" s="12">
        <f>'Synthèse prix'!T47</f>
        <v/>
      </c>
      <c r="K49" s="12">
        <f>'Synthèse prix'!U47</f>
        <v/>
      </c>
      <c r="L49" s="12">
        <f>'Synthèse prix'!V47</f>
        <v/>
      </c>
      <c r="M49" s="12">
        <f>'Synthèse prix'!Q47</f>
        <v/>
      </c>
    </row>
    <row r="50">
      <c r="A50" t="n">
        <v>61</v>
      </c>
      <c r="B50">
        <f>'Synthèse prix'!A49</f>
        <v/>
      </c>
      <c r="C50" t="inlineStr">
        <is>
          <t>100% Pure Whey 400g</t>
        </is>
      </c>
      <c r="D50" t="inlineStr">
        <is>
          <t>400g</t>
        </is>
      </c>
      <c r="E50" s="12">
        <f>'Synthèse prix'!H49</f>
        <v/>
      </c>
      <c r="F50" s="12">
        <f>'Synthèse prix'!I49</f>
        <v/>
      </c>
      <c r="G50" s="12">
        <f>'Synthèse prix'!J49</f>
        <v/>
      </c>
      <c r="H50" s="12">
        <f>'Synthèse prix'!N49</f>
        <v/>
      </c>
      <c r="I50" s="12">
        <f>'Synthèse prix'!S49</f>
        <v/>
      </c>
      <c r="J50" s="12">
        <f>'Synthèse prix'!T49</f>
        <v/>
      </c>
      <c r="K50" s="12">
        <f>'Synthèse prix'!U49</f>
        <v/>
      </c>
      <c r="L50" s="12">
        <f>'Synthèse prix'!V49</f>
        <v/>
      </c>
      <c r="M50" s="12">
        <f>'Synthèse prix'!Q49</f>
        <v/>
      </c>
    </row>
    <row r="51">
      <c r="A51" s="20" t="n">
        <v>62</v>
      </c>
      <c r="B51" s="20">
        <f>'Synthèse prix'!A5</f>
        <v/>
      </c>
      <c r="C51" s="20" t="inlineStr">
        <is>
          <t>Whey Recovery</t>
        </is>
      </c>
      <c r="D51" s="20" t="inlineStr">
        <is>
          <t>525g</t>
        </is>
      </c>
      <c r="E51" s="20">
        <f>'Synthèse prix'!H5</f>
        <v/>
      </c>
      <c r="F51" s="20">
        <f>'Synthèse prix'!I5</f>
        <v/>
      </c>
      <c r="G51" s="20">
        <f>'Synthèse prix'!J5</f>
        <v/>
      </c>
      <c r="H51" s="20">
        <f>'Synthèse prix'!N5</f>
        <v/>
      </c>
      <c r="I51" s="20">
        <f>'Synthèse prix'!S5</f>
        <v/>
      </c>
      <c r="J51" s="20">
        <f>'Synthèse prix'!T5</f>
        <v/>
      </c>
      <c r="K51" s="20">
        <f>'Synthèse prix'!U5</f>
        <v/>
      </c>
      <c r="L51" s="20">
        <f>'Synthèse prix'!V5</f>
        <v/>
      </c>
      <c r="M51" s="20">
        <f>'Synthèse prix'!Q5</f>
        <v/>
      </c>
    </row>
    <row r="52">
      <c r="A52" s="20" t="n">
        <v>63</v>
      </c>
      <c r="B52" s="20">
        <f>'Synthèse prix'!A6</f>
        <v/>
      </c>
      <c r="C52" s="20" t="inlineStr">
        <is>
          <t>Whey Recovery</t>
        </is>
      </c>
      <c r="D52" s="20" t="inlineStr">
        <is>
          <t>525g</t>
        </is>
      </c>
      <c r="E52" s="20">
        <f>'Synthèse prix'!H6</f>
        <v/>
      </c>
      <c r="F52" s="20">
        <f>'Synthèse prix'!I6</f>
        <v/>
      </c>
      <c r="G52" s="20">
        <f>'Synthèse prix'!J6</f>
        <v/>
      </c>
      <c r="H52" s="20">
        <f>'Synthèse prix'!N6</f>
        <v/>
      </c>
      <c r="I52" s="20">
        <f>'Synthèse prix'!S6</f>
        <v/>
      </c>
      <c r="J52" s="20">
        <f>'Synthèse prix'!T6</f>
        <v/>
      </c>
      <c r="K52" s="20">
        <f>'Synthèse prix'!U6</f>
        <v/>
      </c>
      <c r="L52" s="20">
        <f>'Synthèse prix'!V6</f>
        <v/>
      </c>
      <c r="M52" s="20">
        <f>'Synthèse prix'!Q6</f>
        <v/>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2"/>
  <sheetViews>
    <sheetView tabSelected="1" workbookViewId="0">
      <pane ySplit="3" topLeftCell="A4" activePane="bottomLeft" state="frozen"/>
      <selection pane="bottomLeft" activeCell="G20" sqref="G20"/>
    </sheetView>
  </sheetViews>
  <sheetFormatPr baseColWidth="10" defaultRowHeight="14.5"/>
  <cols>
    <col width="45.453125" customWidth="1" style="24" min="1" max="1"/>
    <col width="21.81640625" customWidth="1" style="24" min="2" max="2"/>
    <col width="5.453125" customWidth="1" style="24" min="3" max="3"/>
    <col width="14.54296875" customWidth="1" style="24" min="4" max="4"/>
    <col width="18.1796875" customWidth="1" style="24" min="5" max="5"/>
    <col width="12.7265625" customWidth="1" style="24" min="6" max="6"/>
    <col width="17.26953125" customWidth="1" style="24" min="7" max="8"/>
    <col width="16.36328125" customWidth="1" style="24" min="9" max="9"/>
    <col width="18.1796875" customWidth="1" style="24" min="10" max="10"/>
    <col width="14.54296875" customWidth="1" style="24" min="11" max="11"/>
    <col width="20" customWidth="1" style="24" min="12" max="12"/>
    <col width="18.1796875" customWidth="1" style="24" min="13" max="13"/>
    <col width="23.6328125" customWidth="1" style="24" min="14" max="14"/>
    <col width="21.81640625" customWidth="1" style="24" min="15" max="16"/>
    <col width="24.54296875" customWidth="1" style="24" min="17" max="17"/>
    <col width="29.08984375" customWidth="1" style="24" min="18" max="18"/>
  </cols>
  <sheetData>
    <row r="1" ht="18.5" customHeight="1" s="24">
      <c r="A1" s="53" t="inlineStr">
        <is>
          <t>PRICING WHEY CONCENTRATE — OUTIL D'AIDE À LA DÉCISION</t>
        </is>
      </c>
      <c r="D1" s="53" t="inlineStr">
        <is>
          <t>STRUCTURE DE PRIX — WHEY CONCENTRATE — SIMULATION</t>
        </is>
      </c>
    </row>
    <row r="2" ht="15" customHeight="1" s="24" thickBot="1">
      <c r="A2" s="54" t="inlineStr">
        <is>
          <t>Impulse Nutrition</t>
        </is>
      </c>
    </row>
    <row r="3" ht="40" customHeight="1" s="24" thickBot="1">
      <c r="D3" s="101" t="inlineStr">
        <is>
          <t>Option</t>
        </is>
      </c>
      <c r="E3" s="97" t="inlineStr">
        <is>
          <t>PP TTC</t>
        </is>
      </c>
      <c r="F3" s="97" t="inlineStr">
        <is>
          <t>TVA</t>
        </is>
      </c>
      <c r="G3" s="97" t="inlineStr">
        <is>
          <t>PP HT</t>
        </is>
      </c>
      <c r="H3" s="97" t="inlineStr">
        <is>
          <t>Tarif</t>
        </is>
      </c>
      <c r="I3" s="47" t="inlineStr">
        <is>
          <t>Remise
client</t>
        </is>
      </c>
      <c r="J3" s="97" t="inlineStr">
        <is>
          <t>PVM net</t>
        </is>
      </c>
      <c r="K3" s="97" t="inlineStr">
        <is>
          <t>PR</t>
        </is>
      </c>
      <c r="L3" s="47" t="inlineStr">
        <is>
          <t>Marge nette
unitaire (€)</t>
        </is>
      </c>
      <c r="M3" s="48" t="inlineStr">
        <is>
          <t>% Marge
nette</t>
        </is>
      </c>
      <c r="N3" s="115" t="inlineStr">
        <is>
          <t>Écart vs Moy.
Concurrence</t>
        </is>
      </c>
      <c r="O3" s="110" t="inlineStr">
        <is>
          <t>Écart vs
Whey Isolate</t>
        </is>
      </c>
      <c r="P3" s="120" t="inlineStr">
        <is>
          <t>Écart vs
Whey Recovery</t>
        </is>
      </c>
      <c r="Q3" s="130" t="inlineStr">
        <is>
          <t>Positionnement
Marché</t>
        </is>
      </c>
      <c r="R3" s="125" t="inlineStr">
        <is>
          <t>Recommandation</t>
        </is>
      </c>
    </row>
    <row r="4">
      <c r="A4" s="57" t="inlineStr">
        <is>
          <t>HYPOTHÈSES DE RÉFÉRENCE</t>
        </is>
      </c>
      <c r="B4" s="62" t="n"/>
      <c r="D4" s="102" t="inlineStr">
        <is>
          <t>Option 1</t>
        </is>
      </c>
      <c r="E4" s="84" t="n">
        <v>29.9</v>
      </c>
      <c r="F4" s="83">
        <f>$B$6</f>
        <v/>
      </c>
      <c r="G4" s="82">
        <f>E4/(1+F4)</f>
        <v/>
      </c>
      <c r="H4" s="82">
        <f>E4</f>
        <v/>
      </c>
      <c r="I4" s="83">
        <f>$B$7</f>
        <v/>
      </c>
      <c r="J4" s="82">
        <f>E4*(1-I4)</f>
        <v/>
      </c>
      <c r="K4" s="82">
        <f>$B$5</f>
        <v/>
      </c>
      <c r="L4" s="92">
        <f>J4-K4</f>
        <v/>
      </c>
      <c r="M4" s="106">
        <f>IF(J4=0,0,L4/J4)</f>
        <v/>
      </c>
      <c r="N4" s="116">
        <f>(E4-$B$25)/$B$25</f>
        <v/>
      </c>
      <c r="O4" s="111">
        <f>(E4-$B$10)/$B$10</f>
        <v/>
      </c>
      <c r="P4" s="121">
        <f>(E4-$B$11)/$B$11</f>
        <v/>
      </c>
      <c r="Q4" s="131">
        <f>IF(E4&lt;$B$27,"Sous le marché",IF(E4&lt;$B$25,"Entrée de gamme",IF(E4&lt;=$B$25*1.1,"Aligné marché",IF(E4&lt;=$B$28*0.75,"Premium","Haut de gamme"))))</f>
        <v/>
      </c>
      <c r="R4" s="126">
        <f>IF(M4&lt;0.25,"⚠️ Prix trop bas",IF(AND(M4&gt;=0.25,M4&lt;0.35),IF(ABS(N4)&lt;=0.15,"✅ Aligné marché","⚠️ Vérifier"),IF(AND(M4&gt;=0.35,M4&lt;0.45),IF(E4&lt;=$B$10,"🎯 Optimal","🔵 Premium"),"🔵 Premium")))</f>
        <v/>
      </c>
    </row>
    <row r="5">
      <c r="A5" s="58" t="inlineStr">
        <is>
          <t>Prix de revient (PR HT)</t>
        </is>
      </c>
      <c r="B5" s="63" t="n">
        <v>21</v>
      </c>
      <c r="D5" s="103" t="inlineStr">
        <is>
          <t>Option 2</t>
        </is>
      </c>
      <c r="E5" s="45" t="n">
        <v>31.9</v>
      </c>
      <c r="F5" s="44">
        <f>$B$6</f>
        <v/>
      </c>
      <c r="G5" s="43">
        <f>E5/(1+F5)</f>
        <v/>
      </c>
      <c r="H5" s="43">
        <f>E5</f>
        <v/>
      </c>
      <c r="I5" s="44">
        <f>$B$7</f>
        <v/>
      </c>
      <c r="J5" s="43">
        <f>E5*(1-I5)</f>
        <v/>
      </c>
      <c r="K5" s="43">
        <f>$B$5</f>
        <v/>
      </c>
      <c r="L5" s="93">
        <f>J5-K5</f>
        <v/>
      </c>
      <c r="M5" s="107">
        <f>IF(J5=0,0,L5/J5)</f>
        <v/>
      </c>
      <c r="N5" s="117">
        <f>(E5-$B$25)/$B$25</f>
        <v/>
      </c>
      <c r="O5" s="112">
        <f>(E5-$B$10)/$B$10</f>
        <v/>
      </c>
      <c r="P5" s="122">
        <f>(E5-$B$11)/$B$11</f>
        <v/>
      </c>
      <c r="Q5" s="132">
        <f>IF(E5&lt;$B$27,"Sous le marché",IF(E5&lt;$B$25,"Entrée de gamme",IF(E5&lt;=$B$25*1.1,"Aligné marché",IF(E5&lt;=$B$28*0.75,"Premium","Haut de gamme"))))</f>
        <v/>
      </c>
      <c r="R5" s="127">
        <f>IF(M5&lt;0.25,"⚠️ Prix trop bas",IF(AND(M5&gt;=0.25,M5&lt;0.35),IF(ABS(N5)&lt;=0.15,"✅ Aligné marché","⚠️ Vérifier"),IF(AND(M5&gt;=0.35,M5&lt;0.45),IF(E5&lt;=$B$10,"🎯 Optimal","🔵 Premium"),"🔵 Premium")))</f>
        <v/>
      </c>
    </row>
    <row r="6">
      <c r="A6" s="59" t="inlineStr">
        <is>
          <t>TVA</t>
        </is>
      </c>
      <c r="B6" s="86" t="n">
        <v>0.055</v>
      </c>
      <c r="D6" s="102" t="inlineStr">
        <is>
          <t>Option 3</t>
        </is>
      </c>
      <c r="E6" s="84" t="n">
        <v>33.9</v>
      </c>
      <c r="F6" s="83">
        <f>$B$6</f>
        <v/>
      </c>
      <c r="G6" s="82">
        <f>E6/(1+F6)</f>
        <v/>
      </c>
      <c r="H6" s="82">
        <f>E6</f>
        <v/>
      </c>
      <c r="I6" s="83">
        <f>$B$7</f>
        <v/>
      </c>
      <c r="J6" s="82">
        <f>E6*(1-I6)</f>
        <v/>
      </c>
      <c r="K6" s="82">
        <f>$B$5</f>
        <v/>
      </c>
      <c r="L6" s="92">
        <f>J6-K6</f>
        <v/>
      </c>
      <c r="M6" s="106">
        <f>IF(J6=0,0,L6/J6)</f>
        <v/>
      </c>
      <c r="N6" s="116">
        <f>(E6-$B$25)/$B$25</f>
        <v/>
      </c>
      <c r="O6" s="111">
        <f>(E6-$B$10)/$B$10</f>
        <v/>
      </c>
      <c r="P6" s="121">
        <f>(E6-$B$11)/$B$11</f>
        <v/>
      </c>
      <c r="Q6" s="131">
        <f>IF(E6&lt;$B$27,"Sous le marché",IF(E6&lt;$B$25,"Entrée de gamme",IF(E6&lt;=$B$25*1.1,"Aligné marché",IF(E6&lt;=$B$28*0.75,"Premium","Haut de gamme"))))</f>
        <v/>
      </c>
      <c r="R6" s="126">
        <f>IF(M6&lt;0.25,"⚠️ Prix trop bas",IF(AND(M6&gt;=0.25,M6&lt;0.35),IF(ABS(N6)&lt;=0.15,"✅ Aligné marché","⚠️ Vérifier"),IF(AND(M6&gt;=0.35,M6&lt;0.45),IF(E6&lt;=$B$10,"🎯 Optimal","🔵 Premium"),"🔵 Premium")))</f>
        <v/>
      </c>
    </row>
    <row r="7">
      <c r="A7" s="59" t="inlineStr">
        <is>
          <t>Taux de remise client (site propre)</t>
        </is>
      </c>
      <c r="B7" s="86" t="n">
        <v>0.18</v>
      </c>
      <c r="D7" s="103" t="inlineStr">
        <is>
          <t>Option 4</t>
        </is>
      </c>
      <c r="E7" s="45" t="n">
        <v>34.9</v>
      </c>
      <c r="F7" s="44">
        <f>$B$6</f>
        <v/>
      </c>
      <c r="G7" s="43">
        <f>E7/(1+F7)</f>
        <v/>
      </c>
      <c r="H7" s="43">
        <f>E7</f>
        <v/>
      </c>
      <c r="I7" s="44">
        <f>$B$7</f>
        <v/>
      </c>
      <c r="J7" s="43">
        <f>E7*(1-I7)</f>
        <v/>
      </c>
      <c r="K7" s="43">
        <f>$B$5</f>
        <v/>
      </c>
      <c r="L7" s="93">
        <f>J7-K7</f>
        <v/>
      </c>
      <c r="M7" s="107">
        <f>IF(J7=0,0,L7/J7)</f>
        <v/>
      </c>
      <c r="N7" s="117">
        <f>(E7-$B$25)/$B$25</f>
        <v/>
      </c>
      <c r="O7" s="112">
        <f>(E7-$B$10)/$B$10</f>
        <v/>
      </c>
      <c r="P7" s="122">
        <f>(E7-$B$11)/$B$11</f>
        <v/>
      </c>
      <c r="Q7" s="132">
        <f>IF(E7&lt;$B$27,"Sous le marché",IF(E7&lt;$B$25,"Entrée de gamme",IF(E7&lt;=$B$25*1.1,"Aligné marché",IF(E7&lt;=$B$28*0.75,"Premium","Haut de gamme"))))</f>
        <v/>
      </c>
      <c r="R7" s="127">
        <f>IF(M7&lt;0.25,"⚠️ Prix trop bas",IF(AND(M7&gt;=0.25,M7&lt;0.35),IF(ABS(N7)&lt;=0.15,"✅ Aligné marché","⚠️ Vérifier"),IF(AND(M7&gt;=0.35,M7&lt;0.45),IF(E7&lt;=$B$10,"🎯 Optimal","🔵 Premium"),"🔵 Premium")))</f>
        <v/>
      </c>
    </row>
    <row r="8">
      <c r="A8" s="59" t="inlineStr">
        <is>
          <t>Prix de vente cible TTC</t>
        </is>
      </c>
      <c r="B8" s="64" t="n">
        <v>36.9</v>
      </c>
      <c r="D8" s="104" t="inlineStr">
        <is>
          <t>Option 5 ⭐</t>
        </is>
      </c>
      <c r="E8" s="46" t="n">
        <v>36.9</v>
      </c>
      <c r="F8" s="94">
        <f>$B$6</f>
        <v/>
      </c>
      <c r="G8" s="95">
        <f>E8/(1+F8)</f>
        <v/>
      </c>
      <c r="H8" s="95">
        <f>E8</f>
        <v/>
      </c>
      <c r="I8" s="94">
        <f>$B$7</f>
        <v/>
      </c>
      <c r="J8" s="95">
        <f>E8*(1-I8)</f>
        <v/>
      </c>
      <c r="K8" s="95">
        <f>$B$5</f>
        <v/>
      </c>
      <c r="L8" s="96">
        <f>J8-K8</f>
        <v/>
      </c>
      <c r="M8" s="108">
        <f>IF(J8=0,0,L8/J8)</f>
        <v/>
      </c>
      <c r="N8" s="118">
        <f>(E8-$B$25)/$B$25</f>
        <v/>
      </c>
      <c r="O8" s="113">
        <f>(E8-$B$10)/$B$10</f>
        <v/>
      </c>
      <c r="P8" s="123">
        <f>(E8-$B$11)/$B$11</f>
        <v/>
      </c>
      <c r="Q8" s="133">
        <f>IF(E8&lt;$B$27,"Sous le marché",IF(E8&lt;$B$25,"Entrée de gamme",IF(E8&lt;=$B$25*1.1,"Aligné marché",IF(E8&lt;=$B$28*0.75,"Premium","Haut de gamme"))))</f>
        <v/>
      </c>
      <c r="R8" s="128">
        <f>IF(M8&lt;0.25,"⚠️ Prix trop bas",IF(AND(M8&gt;=0.25,M8&lt;0.35),IF(ABS(N8)&lt;=0.15,"✅ Aligné marché","⚠️ Vérifier"),IF(AND(M8&gt;=0.35,M8&lt;0.45),IF(E8&lt;=$B$10,"🎯 Optimal","🔵 Premium"),"🔵 Premium")))</f>
        <v/>
      </c>
    </row>
    <row r="9">
      <c r="A9" s="60" t="inlineStr">
        <is>
          <t>PRIX IMPULSE EXISTANTS</t>
        </is>
      </c>
      <c r="B9" s="67" t="n"/>
      <c r="D9" s="103" t="inlineStr">
        <is>
          <t>Option 6</t>
        </is>
      </c>
      <c r="E9" s="45" t="n">
        <v>37.9</v>
      </c>
      <c r="F9" s="44">
        <f>$B$6</f>
        <v/>
      </c>
      <c r="G9" s="43">
        <f>E9/(1+F9)</f>
        <v/>
      </c>
      <c r="H9" s="43">
        <f>E9</f>
        <v/>
      </c>
      <c r="I9" s="44">
        <f>$B$7</f>
        <v/>
      </c>
      <c r="J9" s="43">
        <f>E9*(1-I9)</f>
        <v/>
      </c>
      <c r="K9" s="43">
        <f>$B$5</f>
        <v/>
      </c>
      <c r="L9" s="93">
        <f>J9-K9</f>
        <v/>
      </c>
      <c r="M9" s="107">
        <f>IF(J9=0,0,L9/J9)</f>
        <v/>
      </c>
      <c r="N9" s="117">
        <f>(E9-$B$25)/$B$25</f>
        <v/>
      </c>
      <c r="O9" s="112">
        <f>(E9-$B$10)/$B$10</f>
        <v/>
      </c>
      <c r="P9" s="122">
        <f>(E9-$B$11)/$B$11</f>
        <v/>
      </c>
      <c r="Q9" s="132">
        <f>IF(E9&lt;$B$27,"Sous le marché",IF(E9&lt;$B$25,"Entrée de gamme",IF(E9&lt;=$B$25*1.1,"Aligné marché",IF(E9&lt;=$B$28*0.75,"Premium","Haut de gamme"))))</f>
        <v/>
      </c>
      <c r="R9" s="127">
        <f>IF(M9&lt;0.25,"⚠️ Prix trop bas",IF(AND(M9&gt;=0.25,M9&lt;0.35),IF(ABS(N9)&lt;=0.15,"✅ Aligné marché","⚠️ Vérifier"),IF(AND(M9&gt;=0.35,M9&lt;0.45),IF(E9&lt;=$B$10,"🎯 Optimal","🔵 Premium"),"🔵 Premium")))</f>
        <v/>
      </c>
    </row>
    <row r="10">
      <c r="A10" s="59" t="inlineStr">
        <is>
          <t>Whey Isolate (750g)</t>
        </is>
      </c>
      <c r="B10" s="68">
        <f>'Synthèse prix'!H2</f>
        <v/>
      </c>
      <c r="D10" s="102" t="inlineStr">
        <is>
          <t>Option 7</t>
        </is>
      </c>
      <c r="E10" s="84" t="n">
        <v>39.9</v>
      </c>
      <c r="F10" s="83">
        <f>$B$6</f>
        <v/>
      </c>
      <c r="G10" s="82">
        <f>E10/(1+F10)</f>
        <v/>
      </c>
      <c r="H10" s="82">
        <f>E10</f>
        <v/>
      </c>
      <c r="I10" s="83">
        <f>$B$7</f>
        <v/>
      </c>
      <c r="J10" s="82">
        <f>E10*(1-I10)</f>
        <v/>
      </c>
      <c r="K10" s="82">
        <f>$B$5</f>
        <v/>
      </c>
      <c r="L10" s="92">
        <f>J10-K10</f>
        <v/>
      </c>
      <c r="M10" s="106">
        <f>IF(J10=0,0,L10/J10)</f>
        <v/>
      </c>
      <c r="N10" s="116">
        <f>(E10-$B$25)/$B$25</f>
        <v/>
      </c>
      <c r="O10" s="111">
        <f>(E10-$B$10)/$B$10</f>
        <v/>
      </c>
      <c r="P10" s="121">
        <f>(E10-$B$11)/$B$11</f>
        <v/>
      </c>
      <c r="Q10" s="131">
        <f>IF(E10&lt;$B$27,"Sous le marché",IF(E10&lt;$B$25,"Entrée de gamme",IF(E10&lt;=$B$25*1.1,"Aligné marché",IF(E10&lt;=$B$28*0.75,"Premium","Haut de gamme"))))</f>
        <v/>
      </c>
      <c r="R10" s="126">
        <f>IF(M10&lt;0.25,"⚠️ Prix trop bas",IF(AND(M10&gt;=0.25,M10&lt;0.35),IF(ABS(N10)&lt;=0.15,"✅ Aligné marché","⚠️ Vérifier"),IF(AND(M10&gt;=0.35,M10&lt;0.45),IF(E10&lt;=$B$10,"🎯 Optimal","🔵 Premium"),"🔵 Premium")))</f>
        <v/>
      </c>
    </row>
    <row r="11">
      <c r="A11" s="59" t="inlineStr">
        <is>
          <t>Whey Recovery (525g)</t>
        </is>
      </c>
      <c r="B11" s="68">
        <f>'Synthèse prix'!H5</f>
        <v/>
      </c>
      <c r="D11" s="103" t="inlineStr">
        <is>
          <t>Option 8</t>
        </is>
      </c>
      <c r="E11" s="45" t="n">
        <v>41.9</v>
      </c>
      <c r="F11" s="44">
        <f>$B$6</f>
        <v/>
      </c>
      <c r="G11" s="43">
        <f>E11/(1+F11)</f>
        <v/>
      </c>
      <c r="H11" s="43">
        <f>E11</f>
        <v/>
      </c>
      <c r="I11" s="44">
        <f>$B$7</f>
        <v/>
      </c>
      <c r="J11" s="43">
        <f>E11*(1-I11)</f>
        <v/>
      </c>
      <c r="K11" s="43">
        <f>$B$5</f>
        <v/>
      </c>
      <c r="L11" s="93">
        <f>J11-K11</f>
        <v/>
      </c>
      <c r="M11" s="107">
        <f>IF(J11=0,0,L11/J11)</f>
        <v/>
      </c>
      <c r="N11" s="117">
        <f>(E11-$B$25)/$B$25</f>
        <v/>
      </c>
      <c r="O11" s="112">
        <f>(E11-$B$10)/$B$10</f>
        <v/>
      </c>
      <c r="P11" s="122">
        <f>(E11-$B$11)/$B$11</f>
        <v/>
      </c>
      <c r="Q11" s="132">
        <f>IF(E11&lt;$B$27,"Sous le marché",IF(E11&lt;$B$25,"Entrée de gamme",IF(E11&lt;=$B$25*1.1,"Aligné marché",IF(E11&lt;=$B$28*0.75,"Premium","Haut de gamme"))))</f>
        <v/>
      </c>
      <c r="R11" s="127">
        <f>IF(M11&lt;0.25,"⚠️ Prix trop bas",IF(AND(M11&gt;=0.25,M11&lt;0.35),IF(ABS(N11)&lt;=0.15,"✅ Aligné marché","⚠️ Vérifier"),IF(AND(M11&gt;=0.35,M11&lt;0.45),IF(E11&lt;=$B$10,"🎯 Optimal","🔵 Premium"),"🔵 Premium")))</f>
        <v/>
      </c>
    </row>
    <row r="12">
      <c r="A12" s="59" t="n"/>
      <c r="B12" s="66" t="n"/>
      <c r="D12" s="102" t="inlineStr">
        <is>
          <t>Option 9</t>
        </is>
      </c>
      <c r="E12" s="84" t="n">
        <v>42.9</v>
      </c>
      <c r="F12" s="83">
        <f>$B$6</f>
        <v/>
      </c>
      <c r="G12" s="82">
        <f>E12/(1+F12)</f>
        <v/>
      </c>
      <c r="H12" s="82">
        <f>E12</f>
        <v/>
      </c>
      <c r="I12" s="83">
        <f>$B$7</f>
        <v/>
      </c>
      <c r="J12" s="82">
        <f>E12*(1-I12)</f>
        <v/>
      </c>
      <c r="K12" s="82">
        <f>$B$5</f>
        <v/>
      </c>
      <c r="L12" s="92">
        <f>J12-K12</f>
        <v/>
      </c>
      <c r="M12" s="106">
        <f>IF(J12=0,0,L12/J12)</f>
        <v/>
      </c>
      <c r="N12" s="116">
        <f>(E12-$B$25)/$B$25</f>
        <v/>
      </c>
      <c r="O12" s="111">
        <f>(E12-$B$10)/$B$10</f>
        <v/>
      </c>
      <c r="P12" s="121">
        <f>(E12-$B$11)/$B$11</f>
        <v/>
      </c>
      <c r="Q12" s="131">
        <f>IF(E12&lt;$B$27,"Sous le marché",IF(E12&lt;$B$25,"Entrée de gamme",IF(E12&lt;=$B$25*1.1,"Aligné marché",IF(E12&lt;=$B$28*0.75,"Premium","Haut de gamme"))))</f>
        <v/>
      </c>
      <c r="R12" s="126">
        <f>IF(M12&lt;0.25,"⚠️ Prix trop bas",IF(AND(M12&gt;=0.25,M12&lt;0.35),IF(ABS(N12)&lt;=0.15,"✅ Aligné marché","⚠️ Vérifier"),IF(AND(M12&gt;=0.35,M12&lt;0.45),IF(E12&lt;=$B$10,"🎯 Optimal","🔵 Premium"),"🔵 Premium")))</f>
        <v/>
      </c>
    </row>
    <row r="13" ht="15" customHeight="1" s="24" thickBot="1">
      <c r="A13" s="60" t="inlineStr">
        <is>
          <t>BENCHMARK CONCURRENCE — WHEY CONCENTRÉE</t>
        </is>
      </c>
      <c r="B13" s="67" t="n"/>
      <c r="D13" s="105" t="inlineStr">
        <is>
          <t>Option 10</t>
        </is>
      </c>
      <c r="E13" s="49" t="n">
        <v>44.9</v>
      </c>
      <c r="F13" s="98">
        <f>$B$6</f>
        <v/>
      </c>
      <c r="G13" s="99">
        <f>E13/(1+F13)</f>
        <v/>
      </c>
      <c r="H13" s="99">
        <f>E13</f>
        <v/>
      </c>
      <c r="I13" s="98">
        <f>$B$7</f>
        <v/>
      </c>
      <c r="J13" s="99">
        <f>E13*(1-I13)</f>
        <v/>
      </c>
      <c r="K13" s="99">
        <f>$B$5</f>
        <v/>
      </c>
      <c r="L13" s="100">
        <f>J13-K13</f>
        <v/>
      </c>
      <c r="M13" s="109">
        <f>IF(J13=0,0,L13/J13)</f>
        <v/>
      </c>
      <c r="N13" s="119">
        <f>(E13-$B$25)/$B$25</f>
        <v/>
      </c>
      <c r="O13" s="114">
        <f>(E13-$B$10)/$B$10</f>
        <v/>
      </c>
      <c r="P13" s="124">
        <f>(E13-$B$11)/$B$11</f>
        <v/>
      </c>
      <c r="Q13" s="134">
        <f>IF(E13&lt;$B$27,"Sous le marché",IF(E13&lt;$B$25,"Entrée de gamme",IF(E13&lt;=$B$25*1.1,"Aligné marché",IF(E13&lt;=$B$28*0.75,"Premium","Haut de gamme"))))</f>
        <v/>
      </c>
      <c r="R13" s="129">
        <f>IF(M13&lt;0.25,"⚠️ Prix trop bas",IF(AND(M13&gt;=0.25,M13&lt;0.35),IF(ABS(N13)&lt;=0.15,"✅ Aligné marché","⚠️ Vérifier"),IF(AND(M13&gt;=0.35,M13&lt;0.45),IF(E13&lt;=$B$10,"🎯 Optimal","🔵 Premium"),"🔵 Premium")))</f>
        <v/>
      </c>
    </row>
    <row r="14">
      <c r="A14" s="59" t="inlineStr">
        <is>
          <t>Nutrimuscle Whey Concentrat 500g</t>
        </is>
      </c>
      <c r="B14" s="68">
        <f>'Synthèse prix'!H14</f>
        <v/>
      </c>
    </row>
    <row r="15" ht="15.5" customHeight="1" s="24">
      <c r="A15" s="59" t="inlineStr">
        <is>
          <t>Nutrimuscle Whey Concentrat 1kg</t>
        </is>
      </c>
      <c r="B15" s="68">
        <f>'Synthèse prix'!H15</f>
        <v/>
      </c>
      <c r="D15" s="50" t="inlineStr">
        <is>
          <t>ANALYSE &amp; RECOMMANDATIONS</t>
        </is>
      </c>
      <c r="E15" s="28" t="n"/>
      <c r="F15" s="28" t="n"/>
      <c r="G15" s="28" t="n"/>
      <c r="H15" s="28" t="n"/>
      <c r="I15" s="28" t="n"/>
      <c r="J15" s="28" t="n"/>
      <c r="K15" s="28" t="n"/>
      <c r="L15" s="28" t="n"/>
      <c r="M15" s="28" t="n"/>
    </row>
    <row r="16" ht="45" customHeight="1" s="24">
      <c r="A16" s="59" t="inlineStr">
        <is>
          <t>Nutri&amp;Co Whey Concentrée 900g</t>
        </is>
      </c>
      <c r="B16" s="68">
        <f>'Synthèse prix'!H19</f>
        <v/>
      </c>
      <c r="D16" s="160" t="inlineStr">
        <is>
          <t>ℹ️ La TVA est à 5,5% (compléments alimentaires). Le PVM net = PP TTC × (1 − remise 18%). La marge nette = PVM net − PR. L'option 🎯 Optimal pilote automatiquement les tableaux Isolate et Recovery ci-dessous.</t>
        </is>
      </c>
    </row>
    <row r="17" ht="15" customHeight="1" s="24" thickBot="1">
      <c r="A17" s="59" t="inlineStr">
        <is>
          <t>Aqeelab Whey Native 810g</t>
        </is>
      </c>
      <c r="B17" s="68">
        <f>'Synthèse prix'!H20</f>
        <v/>
      </c>
    </row>
    <row r="18">
      <c r="A18" s="59" t="inlineStr">
        <is>
          <t>Eric Favre Whey Optimax 500g</t>
        </is>
      </c>
      <c r="B18" s="68">
        <f>'Synthèse prix'!H24</f>
        <v/>
      </c>
      <c r="D18" s="73" t="inlineStr">
        <is>
          <t>🎯 PRIX RECOMMANDÉ OPTIMAL</t>
        </is>
      </c>
      <c r="E18" s="72" t="n"/>
      <c r="F18" s="72" t="n"/>
      <c r="G18" s="72" t="n"/>
      <c r="H18" s="72" t="n"/>
      <c r="I18" s="72" t="n"/>
      <c r="J18" s="136" t="n"/>
      <c r="K18" s="137" t="n"/>
    </row>
    <row r="19" ht="18.5" customHeight="1" s="24">
      <c r="A19" s="59" t="inlineStr">
        <is>
          <t>Eric Favre Whey Optimax 1,5kg</t>
        </is>
      </c>
      <c r="B19" s="68">
        <f>'Synthèse prix'!H25</f>
        <v/>
      </c>
      <c r="D19" s="58" t="inlineStr">
        <is>
          <t>PP TTC</t>
        </is>
      </c>
      <c r="E19" s="71" t="n">
        <v>44.9</v>
      </c>
      <c r="F19" s="55" t="inlineStr">
        <is>
          <t>PVM net</t>
        </is>
      </c>
      <c r="G19" s="71">
        <f>E19/(1+$B$6)*(1-$B$7)</f>
        <v/>
      </c>
      <c r="H19" s="55" t="inlineStr">
        <is>
          <t>Marge nette</t>
        </is>
      </c>
      <c r="I19" s="71">
        <f>G19-$B$5</f>
        <v/>
      </c>
      <c r="J19" s="55" t="inlineStr">
        <is>
          <t>% Marge</t>
        </is>
      </c>
      <c r="K19" s="138">
        <f>I19/G19</f>
        <v/>
      </c>
    </row>
    <row r="20" ht="189" customHeight="1" s="24" thickBot="1">
      <c r="A20" s="59" t="inlineStr">
        <is>
          <t>Eric Favre Whey Zero 2kg</t>
        </is>
      </c>
      <c r="B20" s="68">
        <f>'Synthèse prix'!H26</f>
        <v/>
      </c>
      <c r="D20" s="74" t="inlineStr">
        <is>
          <t>Justification :</t>
        </is>
      </c>
      <c r="E20" s="85" t="inlineStr">
        <is>
          <t>Seul prix du panel atteignant ~31% de marge nette. Aligné sur la moyenne concurrence (44,42€). +12,5% vs Isolate mais justifié par la structure de coût (remise 18%). Si ce positionnement semble trop haut, réduire la remise client.</t>
        </is>
      </c>
      <c r="F20" s="56" t="n"/>
      <c r="G20" s="56" t="n"/>
      <c r="H20" s="56" t="n"/>
      <c r="I20" s="56" t="n"/>
      <c r="J20" s="56" t="n"/>
      <c r="K20" s="75" t="n"/>
    </row>
    <row r="21" ht="15" customHeight="1" s="24" thickBot="1">
      <c r="A21" s="59" t="inlineStr">
        <is>
          <t>EAFIT Pure Whey 750g</t>
        </is>
      </c>
      <c r="B21" s="68">
        <f>'Synthèse prix'!H31</f>
        <v/>
      </c>
    </row>
    <row r="22">
      <c r="A22" s="59" t="inlineStr">
        <is>
          <t>Bulk Pure Whey 1kg</t>
        </is>
      </c>
      <c r="B22" s="68">
        <f>'Synthèse prix'!H37</f>
        <v/>
      </c>
      <c r="D22" s="78" t="inlineStr">
        <is>
          <t>⚡ STRATÉGIE AGRESSIVE (VOLUME)</t>
        </is>
      </c>
      <c r="E22" s="77" t="n"/>
      <c r="F22" s="77" t="n"/>
      <c r="G22" s="77" t="n"/>
      <c r="H22" s="77" t="n"/>
      <c r="I22" s="77" t="n"/>
      <c r="J22" s="136" t="n"/>
      <c r="K22" s="137" t="n"/>
    </row>
    <row r="23" ht="18.5" customHeight="1" s="24">
      <c r="A23" s="59" t="inlineStr">
        <is>
          <t>BiotechUSA 100% Pure Whey 1kg</t>
        </is>
      </c>
      <c r="B23" s="68">
        <f>'Synthèse prix'!H50</f>
        <v/>
      </c>
      <c r="D23" s="58" t="inlineStr">
        <is>
          <t>PP TTC</t>
        </is>
      </c>
      <c r="E23" s="76" t="n">
        <v>39.9</v>
      </c>
      <c r="F23" s="55" t="inlineStr">
        <is>
          <t>PVM net</t>
        </is>
      </c>
      <c r="G23" s="76">
        <f>E23/(1+$B$6)*(1-$B$7)</f>
        <v/>
      </c>
      <c r="H23" s="55" t="inlineStr">
        <is>
          <t>Marge nette</t>
        </is>
      </c>
      <c r="I23" s="76">
        <f>G23-$B$5</f>
        <v/>
      </c>
      <c r="J23" s="55" t="inlineStr">
        <is>
          <t>% Marge</t>
        </is>
      </c>
      <c r="K23" s="139">
        <f>I23/G23</f>
        <v/>
      </c>
    </row>
    <row r="24" ht="218" customHeight="1" s="24" thickBot="1">
      <c r="A24" s="59" t="n"/>
      <c r="B24" s="66" t="n"/>
      <c r="D24" s="74" t="inlineStr">
        <is>
          <t>Justification :</t>
        </is>
      </c>
      <c r="E24" s="85" t="inlineStr">
        <is>
          <t>Aligné sur le prix de l'Isolate Impulse (39,90€). Marge nette de 23% seulement (6,27€/pot). Stratégie d'appel : attirer des nouveaux clients avec un prix comparable mais produit d'entrée de gamme. Attention : marge insuffisante si les volumes ne suivent pas.</t>
        </is>
      </c>
      <c r="F24" s="56" t="n"/>
      <c r="G24" s="56" t="n"/>
      <c r="H24" s="56" t="n"/>
      <c r="I24" s="56" t="n"/>
      <c r="J24" s="56" t="n"/>
      <c r="K24" s="75" t="n"/>
    </row>
    <row r="25" ht="15" customHeight="1" s="24" thickBot="1">
      <c r="A25" s="58" t="inlineStr">
        <is>
          <t>Moyenne prix concurrence (concentrées)</t>
        </is>
      </c>
      <c r="B25" s="69">
        <f>AVERAGE(B14:B23)</f>
        <v/>
      </c>
    </row>
    <row r="26">
      <c r="A26" s="58" t="inlineStr">
        <is>
          <t>Médiane prix concurrence</t>
        </is>
      </c>
      <c r="B26" s="69">
        <f>MEDIAN(B14:B23)</f>
        <v/>
      </c>
      <c r="D26" s="81" t="inlineStr">
        <is>
          <t>🔵 STRATÉGIE PREMIUM (IMAGE + MARGE)</t>
        </is>
      </c>
      <c r="E26" s="80" t="n"/>
      <c r="F26" s="80" t="n"/>
      <c r="G26" s="80" t="n"/>
      <c r="H26" s="80" t="n"/>
      <c r="I26" s="80" t="n"/>
      <c r="J26" s="136" t="n"/>
      <c r="K26" s="137" t="n"/>
    </row>
    <row r="27" ht="18.5" customHeight="1" s="24">
      <c r="A27" s="59" t="inlineStr">
        <is>
          <t>Min prix concurrence</t>
        </is>
      </c>
      <c r="B27" s="68">
        <f>MIN(B14:B23)</f>
        <v/>
      </c>
      <c r="D27" s="58" t="inlineStr">
        <is>
          <t>PP TTC</t>
        </is>
      </c>
      <c r="E27" s="79" t="n">
        <v>44.9</v>
      </c>
      <c r="F27" s="55" t="inlineStr">
        <is>
          <t>PVM net</t>
        </is>
      </c>
      <c r="G27" s="79">
        <f>E27/(1+$B$6)*(1-$B$7)</f>
        <v/>
      </c>
      <c r="H27" s="55" t="inlineStr">
        <is>
          <t>Marge nette</t>
        </is>
      </c>
      <c r="I27" s="79">
        <f>G27-$B$5</f>
        <v/>
      </c>
      <c r="J27" s="55" t="inlineStr">
        <is>
          <t>% Marge</t>
        </is>
      </c>
      <c r="K27" s="140">
        <f>I27/G27</f>
        <v/>
      </c>
    </row>
    <row r="28" ht="232.5" customHeight="1" s="24" thickBot="1">
      <c r="A28" s="61" t="inlineStr">
        <is>
          <t>Max prix concurrence</t>
        </is>
      </c>
      <c r="B28" s="70">
        <f>MAX(B14:B23)</f>
        <v/>
      </c>
      <c r="D28" s="74" t="inlineStr">
        <is>
          <t>Justification :</t>
        </is>
      </c>
      <c r="E28" s="85" t="inlineStr">
        <is>
          <t>Atteint la cible de 31% de marge nette. Aligné sur la moyenne concurrence. Positionne la Concentrate comme un produit premium natif français. Nécessite une différenciation forte vs l'Isolate (+5€). Recommandation principale si l'objectif est la rentabilité.</t>
        </is>
      </c>
      <c r="F28" s="56" t="n"/>
      <c r="G28" s="56" t="n"/>
      <c r="H28" s="56" t="n"/>
      <c r="I28" s="56" t="n"/>
      <c r="J28" s="56" t="n"/>
      <c r="K28" s="75" t="n"/>
    </row>
    <row r="30" ht="15.5" customHeight="1" s="24">
      <c r="A30" s="141" t="inlineStr">
        <is>
          <t>INDICATEURS CLÉS</t>
        </is>
      </c>
      <c r="B30" s="142" t="n"/>
      <c r="D30" s="51" t="inlineStr">
        <is>
          <t>RÉSUMÉ SIMPLIFIÉ — POUR L'ÉQUIPE</t>
        </is>
      </c>
      <c r="E30" s="52" t="n"/>
      <c r="F30" s="52" t="n"/>
      <c r="G30" s="52" t="n"/>
      <c r="H30" s="52" t="n"/>
      <c r="I30" s="52" t="n"/>
    </row>
    <row r="31">
      <c r="A31" s="55" t="inlineStr">
        <is>
          <t>Seuil de rentabilité TTC</t>
        </is>
      </c>
      <c r="B31" s="143">
        <f>($B$5/(1-$B$7))*(1+$B$6)</f>
        <v/>
      </c>
    </row>
    <row r="32" ht="130.5" customHeight="1" s="24">
      <c r="A32" t="inlineStr">
        <is>
          <t>Prix pour 25% marge nette</t>
        </is>
      </c>
      <c r="B32" s="32">
        <f>(($B$5/(1-0.25))/(1-$B$7))*(1+$B$6)</f>
        <v/>
      </c>
      <c r="D32" s="55" t="inlineStr">
        <is>
          <t>💰 Ce que ça coûte</t>
        </is>
      </c>
      <c r="E32" s="35" t="inlineStr">
        <is>
          <t>Le produit nous coûte 21€ HT. Quand on ajoute la TVA (20%) et la remise client (18%), il faut vendre au minimum 30,73€ TTC pour ne pas perdre d'argent.</t>
        </is>
      </c>
    </row>
    <row r="33">
      <c r="A33" t="inlineStr">
        <is>
          <t>Prix pour 31% marge nette (cible)</t>
        </is>
      </c>
      <c r="B33" s="33">
        <f>(($B$5/(1-0.31))/(1-$B$7))*(1+$B$6)</f>
        <v/>
      </c>
    </row>
    <row r="34" ht="145" customHeight="1" s="24">
      <c r="D34" s="55" t="inlineStr">
        <is>
          <t>🏠 Le marché</t>
        </is>
      </c>
      <c r="E34" s="35" t="inlineStr">
        <is>
          <t>Les whey concentrées concurrentes se vendent en moyenne autour de 44€ TTC (formats 500g-1kg). Notre Isolate est à 39,90€ et notre Recovery à 39,90€.</t>
        </is>
      </c>
    </row>
    <row r="35">
      <c r="A35" s="155" t="inlineStr">
        <is>
          <t>PRIX RETENU CONCENTRATE</t>
        </is>
      </c>
      <c r="B35" s="156" t="n"/>
    </row>
    <row r="36" ht="146" customHeight="1" s="24">
      <c r="A36" t="inlineStr">
        <is>
          <t>PP TTC retenu (🎯 Optimal)</t>
        </is>
      </c>
      <c r="B36" s="157">
        <f>INDEX(E4:E13,MATCH("🎯 Optimal",R4:R13,0))</f>
        <v/>
      </c>
      <c r="D36" s="55" t="inlineStr">
        <is>
          <t>🎯 Recommandation</t>
        </is>
      </c>
      <c r="E36" s="35" t="inlineStr">
        <is>
          <t>Vendre à 44,90€ TTC. Après TVA et remise client, on récupère 30,68€ net et on gagne 9,68€ par pot (32% de marge nette). C'est aligné sur la moyenne du marché.</t>
        </is>
      </c>
    </row>
    <row r="37">
      <c r="A37" t="inlineStr">
        <is>
          <t>PVM net retenu</t>
        </is>
      </c>
      <c r="B37" s="158">
        <f>INDEX(J4:J13,MATCH("🎯 Optimal",R4:R13,0))</f>
        <v/>
      </c>
    </row>
    <row r="38" ht="130.5" customHeight="1" s="24">
      <c r="A38" t="inlineStr">
        <is>
          <t>% Marge nette retenu</t>
        </is>
      </c>
      <c r="B38" s="159">
        <f>INDEX(M4:M13,MATCH("🎯 Optimal",R4:R13,0))</f>
        <v/>
      </c>
      <c r="D38" s="55" t="inlineStr">
        <is>
          <t>📉 Si on veut être agressif</t>
        </is>
      </c>
      <c r="E38" s="35" t="inlineStr">
        <is>
          <t>39,90€ TTC (même prix que l'Isolate). On gagne seulement 6,27€ par pot (23% de marge). Bon pour attirer des clients, mais la marge est faible. Nécessite du volume.</t>
        </is>
      </c>
    </row>
    <row r="40" ht="159.5" customHeight="1" s="24">
      <c r="D40" s="55" t="inlineStr">
        <is>
          <t>⚖️ Point clé</t>
        </is>
      </c>
      <c r="E40" s="35" t="inlineStr">
        <is>
          <t>Le prix cible initial de 36,90€ donne seulement 4,22€ de marge nette par pot (17%). Avec 18% de remise, ce prix est trop bas pour être rentable. Il faut soit augmenter le prix, soit réduire la remise.</t>
        </is>
      </c>
    </row>
    <row r="42" ht="159.5" customHeight="1" s="24">
      <c r="D42" s="55" t="inlineStr">
        <is>
          <t>💡 Leviers</t>
        </is>
      </c>
      <c r="E42" s="35" t="inlineStr">
        <is>
          <t>Pour garder le prix à 36,90€ et atteindre 31% de marge : baisser la remise de 18% à ~0% (pas de remise) ou négocier un PR plus bas. Changez les valeurs en bleu dans le tableau pour simuler !</t>
        </is>
      </c>
    </row>
  </sheetData>
  <mergeCells count="4">
    <mergeCell ref="A2:B2"/>
    <mergeCell ref="D1:R1"/>
    <mergeCell ref="A1:B1"/>
    <mergeCell ref="D16:M16"/>
  </mergeCells>
  <conditionalFormatting sqref="M4:M13">
    <cfRule type="colorScale" priority="1">
      <colorScale>
        <cfvo type="min"/>
        <cfvo type="percentile" val="50"/>
        <cfvo type="max"/>
        <color rgb="FFF8696B"/>
        <color rgb="FFFFEB84"/>
        <color rgb="FF63BE7B"/>
      </colorScale>
    </cfRule>
  </conditionalFormatting>
  <conditionalFormatting sqref="L4:L13">
    <cfRule type="dataBar" priority="2">
      <dataBar>
        <cfvo type="min"/>
        <cfvo type="max"/>
        <color rgb="FF4472C4"/>
      </dataBar>
    </cfRule>
  </conditionalFormatting>
  <conditionalFormatting sqref="N4:N13">
    <cfRule type="colorScale" priority="3">
      <colorScale>
        <cfvo type="min"/>
        <cfvo type="percentile" val="50"/>
        <cfvo type="max"/>
        <color rgb="FF63BE7B"/>
        <color rgb="FFFFEB84"/>
        <color rgb="FFF8696B"/>
      </colorScale>
    </cfRule>
  </conditionalFormatting>
  <conditionalFormatting sqref="R4:R13">
    <cfRule type="containsText" priority="4" operator="containsText" dxfId="4" text="Optimal">
      <formula>NOT(ISERROR(SEARCH("Optimal",R4)))</formula>
    </cfRule>
    <cfRule type="containsText" priority="5" operator="containsText" dxfId="3" text="trop bas">
      <formula>NOT(ISERROR(SEARCH("trop bas",R4)))</formula>
    </cfRule>
    <cfRule type="containsText" priority="6" operator="containsText" dxfId="2" text="Premium">
      <formula>NOT(ISERROR(SEARCH("Premium",R4)))</formula>
    </cfRule>
    <cfRule type="containsText" priority="7" operator="containsText" dxfId="1" text="Aligné">
      <formula>NOT(ISERROR(SEARCH("Aligné",R4)))</formula>
    </cfRule>
    <cfRule type="containsText" priority="8" operator="containsText" dxfId="0" text="Vérifier">
      <formula>NOT(ISERROR(SEARCH("Vérifier",R4)))</formula>
    </cfRule>
  </conditionalFormatting>
  <conditionalFormatting sqref="Q4:Q13">
    <cfRule type="containsText" priority="9" operator="containsText" dxfId="7" text="Entrée">
      <formula>NOT(ISERROR(SEARCH("Entrée",Q4)))</formula>
    </cfRule>
    <cfRule type="containsText" priority="10" operator="containsText" dxfId="1" text="Aligné">
      <formula>NOT(ISERROR(SEARCH("Aligné",Q4)))</formula>
    </cfRule>
    <cfRule type="containsText" priority="11" operator="containsText" dxfId="2" text="Premium">
      <formula>NOT(ISERROR(SEARCH("Premium",Q4)))</formula>
    </cfRule>
  </conditionalFormatting>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Q47"/>
  <sheetViews>
    <sheetView workbookViewId="0">
      <pane ySplit="3" topLeftCell="A4" activePane="bottomLeft" state="frozen"/>
      <selection pane="bottomLeft" activeCell="G20" sqref="G20"/>
    </sheetView>
  </sheetViews>
  <sheetFormatPr baseColWidth="10" defaultRowHeight="14.5"/>
  <cols>
    <col width="45.453125" customWidth="1" style="24" min="1" max="1"/>
    <col width="21.81640625" customWidth="1" style="24" min="2" max="2"/>
    <col width="5.453125" customWidth="1" style="24" min="3" max="3"/>
    <col width="14.54296875" customWidth="1" style="24" min="4" max="4"/>
    <col width="18.1796875" customWidth="1" style="24" min="5" max="5"/>
    <col width="12.7265625" customWidth="1" style="24" min="6" max="6"/>
    <col width="17.26953125" customWidth="1" style="24" min="7" max="8"/>
    <col width="16.36328125" customWidth="1" style="24" min="9" max="9"/>
    <col width="18.1796875" customWidth="1" style="24" min="10" max="10"/>
    <col width="14.54296875" customWidth="1" style="24" min="11" max="11"/>
    <col width="20" customWidth="1" style="24" min="12" max="12"/>
    <col width="18.1796875" customWidth="1" style="24" min="13" max="13"/>
    <col width="23.6328125" customWidth="1" style="24" min="14" max="15"/>
    <col width="24.54296875" customWidth="1" style="24" min="16" max="16"/>
    <col width="29.08984375" customWidth="1" style="24" min="17" max="17"/>
  </cols>
  <sheetData>
    <row r="1" ht="18.5" customHeight="1" s="24">
      <c r="A1" s="53" t="inlineStr">
        <is>
          <t>PRICING WHEY ISOLATE — OUTIL D'AIDE À LA DÉCISION</t>
        </is>
      </c>
      <c r="D1" s="53" t="inlineStr">
        <is>
          <t>STRUCTURE DE PRIX — WHEY ISOLATE — SIMULATION</t>
        </is>
      </c>
    </row>
    <row r="2" ht="15" customHeight="1" s="24" thickBot="1">
      <c r="A2" s="54" t="inlineStr">
        <is>
          <t>Impulse Nutrition — Dynamique / lié au prix Concentrate retenu</t>
        </is>
      </c>
    </row>
    <row r="3" ht="40" customHeight="1" s="24" thickBot="1">
      <c r="D3" s="101" t="inlineStr">
        <is>
          <t>Option</t>
        </is>
      </c>
      <c r="E3" s="97" t="inlineStr">
        <is>
          <t>PP TTC</t>
        </is>
      </c>
      <c r="F3" s="97" t="inlineStr">
        <is>
          <t>TVA</t>
        </is>
      </c>
      <c r="G3" s="97" t="inlineStr">
        <is>
          <t>PP HT</t>
        </is>
      </c>
      <c r="H3" s="97" t="inlineStr">
        <is>
          <t>Tarif</t>
        </is>
      </c>
      <c r="I3" s="47" t="inlineStr">
        <is>
          <t>Remise
client</t>
        </is>
      </c>
      <c r="J3" s="97" t="inlineStr">
        <is>
          <t>PVM net</t>
        </is>
      </c>
      <c r="K3" s="97" t="inlineStr">
        <is>
          <t>PR</t>
        </is>
      </c>
      <c r="L3" s="47" t="inlineStr">
        <is>
          <t>Marge nette
unitaire (€)</t>
        </is>
      </c>
      <c r="M3" s="48" t="inlineStr">
        <is>
          <t>% Marge
nette</t>
        </is>
      </c>
      <c r="N3" s="164" t="inlineStr">
        <is>
          <t>Écart vs Moy.
Concurrence</t>
        </is>
      </c>
      <c r="O3" s="168" t="inlineStr">
        <is>
          <t>Écart vs
Concentrate 🎯</t>
        </is>
      </c>
      <c r="P3" s="130" t="inlineStr">
        <is>
          <t>Positionnement
Marché</t>
        </is>
      </c>
      <c r="Q3" s="170" t="inlineStr">
        <is>
          <t>Recommandation</t>
        </is>
      </c>
    </row>
    <row r="4">
      <c r="A4" s="57" t="inlineStr">
        <is>
          <t>HYPOTHÈSES DE RÉFÉRENCE</t>
        </is>
      </c>
      <c r="B4" s="62" t="n"/>
      <c r="D4" s="102" t="inlineStr">
        <is>
          <t>Option 1</t>
        </is>
      </c>
      <c r="E4" s="176">
        <f>CEILING($B$43-4+0.1,1)-0.1</f>
        <v/>
      </c>
      <c r="F4" s="83">
        <f>$B$6</f>
        <v/>
      </c>
      <c r="G4" s="82">
        <f>E4/(1+F4)</f>
        <v/>
      </c>
      <c r="H4" s="82">
        <f>E4</f>
        <v/>
      </c>
      <c r="I4" s="83">
        <f>$B$7</f>
        <v/>
      </c>
      <c r="J4" s="92">
        <f>E4*(1-I4)</f>
        <v/>
      </c>
      <c r="K4" s="82">
        <f>$B$5</f>
        <v/>
      </c>
      <c r="L4" s="92">
        <f>J4-K4</f>
        <v/>
      </c>
      <c r="M4" s="106">
        <f>IF(J4=0,0,L4/J4)</f>
        <v/>
      </c>
      <c r="N4" s="165">
        <f>(E4-$B$27)/$B$27</f>
        <v/>
      </c>
      <c r="O4" s="91">
        <f>(E4-$B$11)/$B$11</f>
        <v/>
      </c>
      <c r="P4" s="131">
        <f>IF(E4&lt;$B$29,"Sous le marché",IF(E4&lt;$B$27,"Entrée de gamme",IF(E4&lt;=$B$27*1.1,"Aligné marché",IF(E4&lt;=$B$30*0.75,"Premium","Haut de gamme"))))</f>
        <v/>
      </c>
      <c r="Q4" s="126">
        <f>IF(M4&lt;0.3,"⚠️ Marge insuffisante",IF(AND(M4&gt;=0.3,M4&lt;0.35),IF(O4&gt;=0.1,"✅ Acceptable","⚠️ Anti-cannibalisme"),IF(AND(M4&gt;=0.35,M4&lt;0.45),IF(O4&gt;=0.1,"🎯 Optimal","⚠️ Trop proche Concentrate"),"🔵 Premium")))</f>
        <v/>
      </c>
    </row>
    <row r="5">
      <c r="A5" s="58" t="inlineStr">
        <is>
          <t>Prix de revient (PR HT)</t>
        </is>
      </c>
      <c r="B5" s="63" t="n">
        <v>25</v>
      </c>
      <c r="D5" s="103" t="inlineStr">
        <is>
          <t>Option 2</t>
        </is>
      </c>
      <c r="E5" s="176">
        <f>CEILING($B$43-3+0.1,1)-0.1</f>
        <v/>
      </c>
      <c r="F5" s="44">
        <f>$B$6</f>
        <v/>
      </c>
      <c r="G5" s="43">
        <f>E5/(1+F5)</f>
        <v/>
      </c>
      <c r="H5" s="43">
        <f>E5</f>
        <v/>
      </c>
      <c r="I5" s="44">
        <f>$B$7</f>
        <v/>
      </c>
      <c r="J5" s="93">
        <f>E5*(1-I5)</f>
        <v/>
      </c>
      <c r="K5" s="43">
        <f>$B$5</f>
        <v/>
      </c>
      <c r="L5" s="93">
        <f>J5-K5</f>
        <v/>
      </c>
      <c r="M5" s="107">
        <f>IF(J5=0,0,L5/J5)</f>
        <v/>
      </c>
      <c r="N5" s="166">
        <f>(E5-$B$27)/$B$27</f>
        <v/>
      </c>
      <c r="O5" s="42">
        <f>(E5-$B$11)/$B$11</f>
        <v/>
      </c>
      <c r="P5" s="132">
        <f>IF(E5&lt;$B$29,"Sous le marché",IF(E5&lt;$B$27,"Entrée de gamme",IF(E5&lt;=$B$27*1.1,"Aligné marché",IF(E5&lt;=$B$30*0.75,"Premium","Haut de gamme"))))</f>
        <v/>
      </c>
      <c r="Q5" s="127">
        <f>IF(M5&lt;0.3,"⚠️ Marge insuffisante",IF(AND(M5&gt;=0.3,M5&lt;0.35),IF(O5&gt;=0.1,"✅ Acceptable","⚠️ Anti-cannibalisme"),IF(AND(M5&gt;=0.35,M5&lt;0.45),IF(O5&gt;=0.1,"🎯 Optimal","⚠️ Trop proche Concentrate"),"🔵 Premium")))</f>
        <v/>
      </c>
    </row>
    <row r="6">
      <c r="A6" s="59" t="inlineStr">
        <is>
          <t>TVA</t>
        </is>
      </c>
      <c r="B6" s="65">
        <f>'Pricing Whey Concentrate'!B6</f>
        <v/>
      </c>
      <c r="D6" s="102" t="inlineStr">
        <is>
          <t>Option 3</t>
        </is>
      </c>
      <c r="E6" s="176">
        <f>CEILING($B$43-2+0.1,1)-0.1</f>
        <v/>
      </c>
      <c r="F6" s="83">
        <f>$B$6</f>
        <v/>
      </c>
      <c r="G6" s="82">
        <f>E6/(1+F6)</f>
        <v/>
      </c>
      <c r="H6" s="82">
        <f>E6</f>
        <v/>
      </c>
      <c r="I6" s="83">
        <f>$B$7</f>
        <v/>
      </c>
      <c r="J6" s="92">
        <f>E6*(1-I6)</f>
        <v/>
      </c>
      <c r="K6" s="82">
        <f>$B$5</f>
        <v/>
      </c>
      <c r="L6" s="92">
        <f>J6-K6</f>
        <v/>
      </c>
      <c r="M6" s="106">
        <f>IF(J6=0,0,L6/J6)</f>
        <v/>
      </c>
      <c r="N6" s="165">
        <f>(E6-$B$27)/$B$27</f>
        <v/>
      </c>
      <c r="O6" s="91">
        <f>(E6-$B$11)/$B$11</f>
        <v/>
      </c>
      <c r="P6" s="131">
        <f>IF(E6&lt;$B$29,"Sous le marché",IF(E6&lt;$B$27,"Entrée de gamme",IF(E6&lt;=$B$27*1.1,"Aligné marché",IF(E6&lt;=$B$30*0.75,"Premium","Haut de gamme"))))</f>
        <v/>
      </c>
      <c r="Q6" s="126">
        <f>IF(M6&lt;0.3,"⚠️ Marge insuffisante",IF(AND(M6&gt;=0.3,M6&lt;0.35),IF(O6&gt;=0.1,"✅ Acceptable","⚠️ Anti-cannibalisme"),IF(AND(M6&gt;=0.35,M6&lt;0.45),IF(O6&gt;=0.1,"🎯 Optimal","⚠️ Trop proche Concentrate"),"🔵 Premium")))</f>
        <v/>
      </c>
    </row>
    <row r="7">
      <c r="A7" s="59" t="inlineStr">
        <is>
          <t>Taux de remise client (site propre)</t>
        </is>
      </c>
      <c r="B7" s="65">
        <f>'Pricing Whey Concentrate'!B7</f>
        <v/>
      </c>
      <c r="D7" s="103" t="inlineStr">
        <is>
          <t>Option 4</t>
        </is>
      </c>
      <c r="E7" s="176">
        <f>CEILING($B$43-1+0.1,1)-0.1</f>
        <v/>
      </c>
      <c r="F7" s="44">
        <f>$B$6</f>
        <v/>
      </c>
      <c r="G7" s="43">
        <f>E7/(1+F7)</f>
        <v/>
      </c>
      <c r="H7" s="43">
        <f>E7</f>
        <v/>
      </c>
      <c r="I7" s="44">
        <f>$B$7</f>
        <v/>
      </c>
      <c r="J7" s="93">
        <f>E7*(1-I7)</f>
        <v/>
      </c>
      <c r="K7" s="43">
        <f>$B$5</f>
        <v/>
      </c>
      <c r="L7" s="93">
        <f>J7-K7</f>
        <v/>
      </c>
      <c r="M7" s="107">
        <f>IF(J7=0,0,L7/J7)</f>
        <v/>
      </c>
      <c r="N7" s="166">
        <f>(E7-$B$27)/$B$27</f>
        <v/>
      </c>
      <c r="O7" s="42">
        <f>(E7-$B$11)/$B$11</f>
        <v/>
      </c>
      <c r="P7" s="132">
        <f>IF(E7&lt;$B$29,"Sous le marché",IF(E7&lt;$B$27,"Entrée de gamme",IF(E7&lt;=$B$27*1.1,"Aligné marché",IF(E7&lt;=$B$30*0.75,"Premium","Haut de gamme"))))</f>
        <v/>
      </c>
      <c r="Q7" s="127">
        <f>IF(M7&lt;0.3,"⚠️ Marge insuffisante",IF(AND(M7&gt;=0.3,M7&lt;0.35),IF(O7&gt;=0.1,"✅ Acceptable","⚠️ Anti-cannibalisme"),IF(AND(M7&gt;=0.35,M7&lt;0.45),IF(O7&gt;=0.1,"🎯 Optimal","⚠️ Trop proche Concentrate"),"🔵 Premium")))</f>
        <v/>
      </c>
    </row>
    <row r="8">
      <c r="A8" s="59" t="inlineStr">
        <is>
          <t>Prix Impulse Isolate actuel</t>
        </is>
      </c>
      <c r="B8" s="68">
        <f>'Synthèse prix'!H2</f>
        <v/>
      </c>
      <c r="D8" s="102" t="inlineStr">
        <is>
          <t>Option 5</t>
        </is>
      </c>
      <c r="E8" s="177">
        <f>CEILING($B$43+0.1,1)-0.1</f>
        <v/>
      </c>
      <c r="F8" s="83">
        <f>$B$6</f>
        <v/>
      </c>
      <c r="G8" s="82">
        <f>E8/(1+F8)</f>
        <v/>
      </c>
      <c r="H8" s="82">
        <f>E8</f>
        <v/>
      </c>
      <c r="I8" s="83">
        <f>$B$7</f>
        <v/>
      </c>
      <c r="J8" s="92">
        <f>E8*(1-I8)</f>
        <v/>
      </c>
      <c r="K8" s="82">
        <f>$B$5</f>
        <v/>
      </c>
      <c r="L8" s="92">
        <f>J8-K8</f>
        <v/>
      </c>
      <c r="M8" s="106">
        <f>IF(J8=0,0,L8/J8)</f>
        <v/>
      </c>
      <c r="N8" s="165">
        <f>(E8-$B$27)/$B$27</f>
        <v/>
      </c>
      <c r="O8" s="91">
        <f>(E8-$B$11)/$B$11</f>
        <v/>
      </c>
      <c r="P8" s="131">
        <f>IF(E8&lt;$B$29,"Sous le marché",IF(E8&lt;$B$27,"Entrée de gamme",IF(E8&lt;=$B$27*1.1,"Aligné marché",IF(E8&lt;=$B$30*0.75,"Premium","Haut de gamme"))))</f>
        <v/>
      </c>
      <c r="Q8" s="126">
        <f>IF(M8&lt;0.3,"⚠️ Marge insuffisante",IF(AND(M8&gt;=0.3,M8&lt;0.35),IF(O8&gt;=0.1,"✅ Acceptable","⚠️ Anti-cannibalisme"),IF(AND(M8&gt;=0.35,M8&lt;0.45),IF(O8&gt;=0.1,"🎯 Optimal","⚠️ Trop proche Concentrate"),"🔵 Premium")))</f>
        <v/>
      </c>
    </row>
    <row r="9">
      <c r="A9" s="59" t="n"/>
      <c r="B9" s="66" t="n"/>
      <c r="D9" s="103" t="inlineStr">
        <is>
          <t>Option 6</t>
        </is>
      </c>
      <c r="E9" s="176">
        <f>CEILING($B$43+1+0.1,1)-0.1</f>
        <v/>
      </c>
      <c r="F9" s="44">
        <f>$B$6</f>
        <v/>
      </c>
      <c r="G9" s="43">
        <f>E9/(1+F9)</f>
        <v/>
      </c>
      <c r="H9" s="43">
        <f>E9</f>
        <v/>
      </c>
      <c r="I9" s="44">
        <f>$B$7</f>
        <v/>
      </c>
      <c r="J9" s="93">
        <f>E9*(1-I9)</f>
        <v/>
      </c>
      <c r="K9" s="43">
        <f>$B$5</f>
        <v/>
      </c>
      <c r="L9" s="93">
        <f>J9-K9</f>
        <v/>
      </c>
      <c r="M9" s="107">
        <f>IF(J9=0,0,L9/J9)</f>
        <v/>
      </c>
      <c r="N9" s="166">
        <f>(E9-$B$27)/$B$27</f>
        <v/>
      </c>
      <c r="O9" s="42">
        <f>(E9-$B$11)/$B$11</f>
        <v/>
      </c>
      <c r="P9" s="132">
        <f>IF(E9&lt;$B$29,"Sous le marché",IF(E9&lt;$B$27,"Entrée de gamme",IF(E9&lt;=$B$27*1.1,"Aligné marché",IF(E9&lt;=$B$30*0.75,"Premium","Haut de gamme"))))</f>
        <v/>
      </c>
      <c r="Q9" s="127">
        <f>IF(M9&lt;0.3,"⚠️ Marge insuffisante",IF(AND(M9&gt;=0.3,M9&lt;0.35),IF(O9&gt;=0.1,"✅ Acceptable","⚠️ Anti-cannibalisme"),IF(AND(M9&gt;=0.35,M9&lt;0.45),IF(O9&gt;=0.1,"🎯 Optimal","⚠️ Trop proche Concentrate"),"🔵 Premium")))</f>
        <v/>
      </c>
    </row>
    <row r="10">
      <c r="A10" s="171" t="inlineStr">
        <is>
          <t>PRIX CONCENTRATE RETENU (🎯)</t>
        </is>
      </c>
      <c r="B10" s="172" t="n"/>
      <c r="D10" s="102" t="inlineStr">
        <is>
          <t>Option 7</t>
        </is>
      </c>
      <c r="E10" s="176">
        <f>CEILING($B$43+2+0.1,1)-0.1</f>
        <v/>
      </c>
      <c r="F10" s="83">
        <f>$B$6</f>
        <v/>
      </c>
      <c r="G10" s="82">
        <f>E10/(1+F10)</f>
        <v/>
      </c>
      <c r="H10" s="82">
        <f>E10</f>
        <v/>
      </c>
      <c r="I10" s="83">
        <f>$B$7</f>
        <v/>
      </c>
      <c r="J10" s="92">
        <f>E10*(1-I10)</f>
        <v/>
      </c>
      <c r="K10" s="82">
        <f>$B$5</f>
        <v/>
      </c>
      <c r="L10" s="92">
        <f>J10-K10</f>
        <v/>
      </c>
      <c r="M10" s="106">
        <f>IF(J10=0,0,L10/J10)</f>
        <v/>
      </c>
      <c r="N10" s="165">
        <f>(E10-$B$27)/$B$27</f>
        <v/>
      </c>
      <c r="O10" s="91">
        <f>(E10-$B$11)/$B$11</f>
        <v/>
      </c>
      <c r="P10" s="131">
        <f>IF(E10&lt;$B$29,"Sous le marché",IF(E10&lt;$B$27,"Entrée de gamme",IF(E10&lt;=$B$27*1.1,"Aligné marché",IF(E10&lt;=$B$30*0.75,"Premium","Haut de gamme"))))</f>
        <v/>
      </c>
      <c r="Q10" s="126">
        <f>IF(M10&lt;0.3,"⚠️ Marge insuffisante",IF(AND(M10&gt;=0.3,M10&lt;0.35),IF(O10&gt;=0.1,"✅ Acceptable","⚠️ Anti-cannibalisme"),IF(AND(M10&gt;=0.35,M10&lt;0.45),IF(O10&gt;=0.1,"🎯 Optimal","⚠️ Trop proche Concentrate"),"🔵 Premium")))</f>
        <v/>
      </c>
    </row>
    <row r="11">
      <c r="A11" s="59" t="inlineStr">
        <is>
          <t>PP TTC Concentrate retenu</t>
        </is>
      </c>
      <c r="B11" s="173">
        <f>'Pricing Whey Concentrate'!B36</f>
        <v/>
      </c>
      <c r="D11" s="103" t="inlineStr">
        <is>
          <t>Option 8</t>
        </is>
      </c>
      <c r="E11" s="176">
        <f>CEILING($B$43+3+0.1,1)-0.1</f>
        <v/>
      </c>
      <c r="F11" s="44">
        <f>$B$6</f>
        <v/>
      </c>
      <c r="G11" s="43">
        <f>E11/(1+F11)</f>
        <v/>
      </c>
      <c r="H11" s="43">
        <f>E11</f>
        <v/>
      </c>
      <c r="I11" s="44">
        <f>$B$7</f>
        <v/>
      </c>
      <c r="J11" s="93">
        <f>E11*(1-I11)</f>
        <v/>
      </c>
      <c r="K11" s="43">
        <f>$B$5</f>
        <v/>
      </c>
      <c r="L11" s="93">
        <f>J11-K11</f>
        <v/>
      </c>
      <c r="M11" s="107">
        <f>IF(J11=0,0,L11/J11)</f>
        <v/>
      </c>
      <c r="N11" s="166">
        <f>(E11-$B$27)/$B$27</f>
        <v/>
      </c>
      <c r="O11" s="42">
        <f>(E11-$B$11)/$B$11</f>
        <v/>
      </c>
      <c r="P11" s="132">
        <f>IF(E11&lt;$B$29,"Sous le marché",IF(E11&lt;$B$27,"Entrée de gamme",IF(E11&lt;=$B$27*1.1,"Aligné marché",IF(E11&lt;=$B$30*0.75,"Premium","Haut de gamme"))))</f>
        <v/>
      </c>
      <c r="Q11" s="127">
        <f>IF(M11&lt;0.3,"⚠️ Marge insuffisante",IF(AND(M11&gt;=0.3,M11&lt;0.35),IF(O11&gt;=0.1,"✅ Acceptable","⚠️ Anti-cannibalisme"),IF(AND(M11&gt;=0.35,M11&lt;0.45),IF(O11&gt;=0.1,"🎯 Optimal","⚠️ Trop proche Concentrate"),"🔵 Premium")))</f>
        <v/>
      </c>
    </row>
    <row r="12">
      <c r="A12" s="59" t="n"/>
      <c r="B12" s="66" t="n"/>
      <c r="D12" s="102" t="inlineStr">
        <is>
          <t>Option 9</t>
        </is>
      </c>
      <c r="E12" s="176">
        <f>CEILING($B$43+5+0.1,1)-0.1</f>
        <v/>
      </c>
      <c r="F12" s="83">
        <f>$B$6</f>
        <v/>
      </c>
      <c r="G12" s="82">
        <f>E12/(1+F12)</f>
        <v/>
      </c>
      <c r="H12" s="82">
        <f>E12</f>
        <v/>
      </c>
      <c r="I12" s="83">
        <f>$B$7</f>
        <v/>
      </c>
      <c r="J12" s="92">
        <f>E12*(1-I12)</f>
        <v/>
      </c>
      <c r="K12" s="82">
        <f>$B$5</f>
        <v/>
      </c>
      <c r="L12" s="92">
        <f>J12-K12</f>
        <v/>
      </c>
      <c r="M12" s="106">
        <f>IF(J12=0,0,L12/J12)</f>
        <v/>
      </c>
      <c r="N12" s="165">
        <f>(E12-$B$27)/$B$27</f>
        <v/>
      </c>
      <c r="O12" s="91">
        <f>(E12-$B$11)/$B$11</f>
        <v/>
      </c>
      <c r="P12" s="131">
        <f>IF(E12&lt;$B$29,"Sous le marché",IF(E12&lt;$B$27,"Entrée de gamme",IF(E12&lt;=$B$27*1.1,"Aligné marché",IF(E12&lt;=$B$30*0.75,"Premium","Haut de gamme"))))</f>
        <v/>
      </c>
      <c r="Q12" s="126">
        <f>IF(M12&lt;0.3,"⚠️ Marge insuffisante",IF(AND(M12&gt;=0.3,M12&lt;0.35),IF(O12&gt;=0.1,"✅ Acceptable","⚠️ Anti-cannibalisme"),IF(AND(M12&gt;=0.35,M12&lt;0.45),IF(O12&gt;=0.1,"🎯 Optimal","⚠️ Trop proche Concentrate"),"🔵 Premium")))</f>
        <v/>
      </c>
    </row>
    <row r="13" ht="15" customHeight="1" s="24" thickBot="1">
      <c r="A13" s="60" t="inlineStr">
        <is>
          <t>BENCHMARK CONCURRENCE — WHEY ISOLATE</t>
        </is>
      </c>
      <c r="B13" s="67" t="n"/>
      <c r="D13" s="105" t="inlineStr">
        <is>
          <t>Option 10</t>
        </is>
      </c>
      <c r="E13" s="178">
        <f>CEILING($B$43+7+0.1,1)-0.1</f>
        <v/>
      </c>
      <c r="F13" s="98">
        <f>$B$6</f>
        <v/>
      </c>
      <c r="G13" s="99">
        <f>E13/(1+F13)</f>
        <v/>
      </c>
      <c r="H13" s="99">
        <f>E13</f>
        <v/>
      </c>
      <c r="I13" s="98">
        <f>$B$7</f>
        <v/>
      </c>
      <c r="J13" s="100">
        <f>E13*(1-I13)</f>
        <v/>
      </c>
      <c r="K13" s="99">
        <f>$B$5</f>
        <v/>
      </c>
      <c r="L13" s="100">
        <f>J13-K13</f>
        <v/>
      </c>
      <c r="M13" s="109">
        <f>IF(J13=0,0,L13/J13)</f>
        <v/>
      </c>
      <c r="N13" s="167">
        <f>(E13-$B$27)/$B$27</f>
        <v/>
      </c>
      <c r="O13" s="169">
        <f>(E13-$B$11)/$B$11</f>
        <v/>
      </c>
      <c r="P13" s="134">
        <f>IF(E13&lt;$B$29,"Sous le marché",IF(E13&lt;$B$27,"Entrée de gamme",IF(E13&lt;=$B$27*1.1,"Aligné marché",IF(E13&lt;=$B$30*0.75,"Premium","Haut de gamme"))))</f>
        <v/>
      </c>
      <c r="Q13" s="129">
        <f>IF(M13&lt;0.3,"⚠️ Marge insuffisante",IF(AND(M13&gt;=0.3,M13&lt;0.35),IF(O13&gt;=0.1,"✅ Acceptable","⚠️ Anti-cannibalisme"),IF(AND(M13&gt;=0.35,M13&lt;0.45),IF(O13&gt;=0.1,"🎯 Optimal","⚠️ Trop proche Concentrate"),"🔵 Premium")))</f>
        <v/>
      </c>
    </row>
    <row r="14">
      <c r="A14" s="59" t="inlineStr">
        <is>
          <t>Nutripure Whey Isolat Native 750g</t>
        </is>
      </c>
      <c r="B14" s="68">
        <f>'Synthèse prix'!H7</f>
        <v/>
      </c>
    </row>
    <row r="15">
      <c r="A15" s="59" t="inlineStr">
        <is>
          <t>Nutrimuscle Whey Native Isolate 500g</t>
        </is>
      </c>
      <c r="B15" s="68">
        <f>'Synthèse prix'!H10</f>
        <v/>
      </c>
    </row>
    <row r="16">
      <c r="A16" s="59" t="inlineStr">
        <is>
          <t>Nutrimuscle Whey Native Isolate 1kg</t>
        </is>
      </c>
      <c r="B16" s="68">
        <f>'Synthèse prix'!H11</f>
        <v/>
      </c>
    </row>
    <row r="17">
      <c r="A17" s="59" t="inlineStr">
        <is>
          <t>Nutri&amp;Co Whey Isolate Native 900g</t>
        </is>
      </c>
      <c r="B17" s="68">
        <f>'Synthèse prix'!H18</f>
        <v/>
      </c>
    </row>
    <row r="18">
      <c r="A18" s="59" t="inlineStr">
        <is>
          <t>Eric Favre Iso Zero 500g</t>
        </is>
      </c>
      <c r="B18" s="68">
        <f>'Synthèse prix'!H21</f>
        <v/>
      </c>
    </row>
    <row r="19">
      <c r="A19" s="59" t="inlineStr">
        <is>
          <t>Eric Favre Iso Zero 1,5kg</t>
        </is>
      </c>
      <c r="B19" s="68">
        <f>'Synthèse prix'!H22</f>
        <v/>
      </c>
    </row>
    <row r="20">
      <c r="A20" s="59" t="inlineStr">
        <is>
          <t>Eric Favre Iso Zero 2kg</t>
        </is>
      </c>
      <c r="B20" s="68">
        <f>'Synthèse prix'!H23</f>
        <v/>
      </c>
    </row>
    <row r="21">
      <c r="A21" s="59" t="inlineStr">
        <is>
          <t>EAFIT Pure Isolate 750g</t>
        </is>
      </c>
      <c r="B21" s="68">
        <f>'Synthèse prix'!H29</f>
        <v/>
      </c>
    </row>
    <row r="22">
      <c r="A22" s="59" t="inlineStr">
        <is>
          <t>EAFIT Pure Isolate Premium 750g</t>
        </is>
      </c>
      <c r="B22" s="68">
        <f>'Synthèse prix'!H30</f>
        <v/>
      </c>
    </row>
    <row r="23">
      <c r="A23" s="59" t="inlineStr">
        <is>
          <t>Bulk Pure Whey Isolate 1kg</t>
        </is>
      </c>
      <c r="B23" s="68">
        <f>'Synthèse prix'!H35</f>
        <v/>
      </c>
    </row>
    <row r="24">
      <c r="A24" s="59" t="inlineStr">
        <is>
          <t>MyProtein Impact Whey Isolate 1kg</t>
        </is>
      </c>
      <c r="B24" s="68">
        <f>'Synthèse prix'!H41</f>
        <v/>
      </c>
    </row>
    <row r="25">
      <c r="A25" s="59" t="inlineStr">
        <is>
          <t>BiotechUSA Iso Whey Zero 908g</t>
        </is>
      </c>
      <c r="B25" s="68">
        <f>'Synthèse prix'!H47</f>
        <v/>
      </c>
    </row>
    <row r="26">
      <c r="A26" s="59" t="n"/>
      <c r="B26" s="66" t="n"/>
    </row>
    <row r="27">
      <c r="A27" s="58" t="inlineStr">
        <is>
          <t>Moyenne prix concurrence (isolates)</t>
        </is>
      </c>
      <c r="B27" s="69">
        <f>AVERAGE(B14:B25)</f>
        <v/>
      </c>
    </row>
    <row r="28">
      <c r="A28" s="59" t="inlineStr">
        <is>
          <t>Médiane prix concurrence</t>
        </is>
      </c>
      <c r="B28" s="69">
        <f>MEDIAN(B14:B25)</f>
        <v/>
      </c>
    </row>
    <row r="29">
      <c r="A29" s="59" t="inlineStr">
        <is>
          <t>Min prix concurrence</t>
        </is>
      </c>
      <c r="B29" s="68">
        <f>MIN(B14:B25)</f>
        <v/>
      </c>
    </row>
    <row r="30" ht="15" customHeight="1" s="24" thickBot="1">
      <c r="A30" s="61" t="inlineStr">
        <is>
          <t>Max prix concurrence</t>
        </is>
      </c>
      <c r="B30" s="70">
        <f>MAX(B14:B25)</f>
        <v/>
      </c>
    </row>
    <row r="32">
      <c r="A32" s="155" t="inlineStr">
        <is>
          <t>PRIX RETENU ISOLATE</t>
        </is>
      </c>
      <c r="B32" s="156" t="n"/>
    </row>
    <row r="33" ht="18.5" customHeight="1" s="24">
      <c r="A33" t="inlineStr">
        <is>
          <t>PP TTC retenu (🎯 Optimal)</t>
        </is>
      </c>
      <c r="B33" s="157">
        <f>IFERROR(INDEX(E4:E13,MATCH("🎯 Optimal",Q4:Q13,0)),"Aucun Optimal")</f>
        <v/>
      </c>
    </row>
    <row r="34">
      <c r="A34" t="inlineStr">
        <is>
          <t>PVM net retenu</t>
        </is>
      </c>
      <c r="B34" s="158">
        <f>IFERROR(INDEX(J4:J13,MATCH("🎯 Optimal",Q4:Q13,0)),"")</f>
        <v/>
      </c>
    </row>
    <row r="35">
      <c r="A35" t="inlineStr">
        <is>
          <t>% Marge nette retenu</t>
        </is>
      </c>
      <c r="B35" s="159">
        <f>IFERROR(INDEX(M4:M13,MATCH("🎯 Optimal",Q4:Q13,0)),"")</f>
        <v/>
      </c>
    </row>
    <row r="36">
      <c r="A36" t="inlineStr">
        <is>
          <t>Écart vs Concentrate retenu</t>
        </is>
      </c>
      <c r="B36" s="174">
        <f>IFERROR((B33-B11)/B11,"")</f>
        <v/>
      </c>
    </row>
    <row r="38">
      <c r="A38" s="179" t="inlineStr">
        <is>
          <t>CALCUL AUTO — PRIX OPTIMAL (ALGO OPTION C)</t>
        </is>
      </c>
    </row>
    <row r="39">
      <c r="A39" s="180" t="inlineStr">
        <is>
          <t>PP pour marge 38% (plancher rentabilité)</t>
        </is>
      </c>
      <c r="B39" s="181">
        <f>CEILING($B$5/(1-0.38)/(1-$B$7)+0.1,1)-0.1</f>
        <v/>
      </c>
    </row>
    <row r="40">
      <c r="A40" s="180" t="inlineStr">
        <is>
          <t>PP pour marge 40% (cible marge)</t>
        </is>
      </c>
      <c r="B40" s="181">
        <f>CEILING($B$5/(1-0.40)/(1-$B$7)+0.1,1)-0.1</f>
        <v/>
      </c>
    </row>
    <row r="41">
      <c r="A41" s="180" t="inlineStr">
        <is>
          <t>PP plancher anti-cannib. (Concentrate +10%)</t>
        </is>
      </c>
      <c r="B41" s="181">
        <f>CEILING($B$11*1.10+0.1,1)-0.1</f>
        <v/>
      </c>
    </row>
    <row r="42">
      <c r="A42" s="180" t="inlineStr">
        <is>
          <t>PP médiane marché (benchmark concurrents)</t>
        </is>
      </c>
      <c r="B42" s="181">
        <f>$B$28</f>
        <v/>
      </c>
    </row>
    <row r="43">
      <c r="A43" s="179" t="inlineStr">
        <is>
          <t>🎯 PP OPTIMAL (auto)</t>
        </is>
      </c>
      <c r="B43" s="182">
        <f>MAX($B$39,$B$41,MIN($B$40,$B$42))</f>
        <v/>
      </c>
    </row>
    <row r="44">
      <c r="A44" s="180" t="inlineStr">
        <is>
          <t>Marge théorique à PP optimal</t>
        </is>
      </c>
      <c r="B44" s="183">
        <f>IFERROR(($B$43*(1-$B$7)-$B$5)/($B$43*(1-$B$7)),0)</f>
        <v/>
      </c>
    </row>
    <row r="45">
      <c r="A45" s="180" t="inlineStr">
        <is>
          <t>Écart vs Concentrate retenu (€)</t>
        </is>
      </c>
      <c r="B45" s="181">
        <f>$B$43-$B$11</f>
        <v/>
      </c>
    </row>
    <row r="46">
      <c r="A46" s="180" t="inlineStr">
        <is>
          <t>Écart vs Concentrate retenu (%)</t>
        </is>
      </c>
      <c r="B46" s="183">
        <f>IFERROR(($B$43-$B$11)/$B$11,0)</f>
        <v/>
      </c>
    </row>
    <row r="47">
      <c r="A47" s="180" t="inlineStr">
        <is>
          <t>Écart vs médiane marché (€)</t>
        </is>
      </c>
      <c r="B47" s="181">
        <f>$B$43-$B$42</f>
        <v/>
      </c>
    </row>
  </sheetData>
  <mergeCells count="3">
    <mergeCell ref="D1:Q1"/>
    <mergeCell ref="A2:B2"/>
    <mergeCell ref="A1:B1"/>
  </mergeCells>
  <conditionalFormatting sqref="M4:M13">
    <cfRule type="colorScale" priority="1">
      <colorScale>
        <cfvo type="min"/>
        <cfvo type="percentile" val="50"/>
        <cfvo type="max"/>
        <color rgb="FFF8696B"/>
        <color rgb="FFFFEB84"/>
        <color rgb="FF63BE7B"/>
      </colorScale>
    </cfRule>
  </conditionalFormatting>
  <conditionalFormatting sqref="Q4:Q13">
    <cfRule type="containsText" priority="2" operator="containsText" dxfId="4" text="Optimal">
      <formula>NOT(ISERROR(SEARCH("Optimal",Q4)))</formula>
    </cfRule>
    <cfRule type="containsText" priority="3" operator="containsText" dxfId="3" text="insuffisante">
      <formula>NOT(ISERROR(SEARCH("insuffisante",Q4)))</formula>
    </cfRule>
    <cfRule type="containsText" priority="4" operator="containsText" dxfId="2" text="Premium">
      <formula>NOT(ISERROR(SEARCH("Premium",Q4)))</formula>
    </cfRule>
    <cfRule type="containsText" priority="5" operator="containsText" dxfId="1" text="Acceptable">
      <formula>NOT(ISERROR(SEARCH("Acceptable",Q4)))</formula>
    </cfRule>
    <cfRule type="containsText" priority="6" operator="containsText" dxfId="0" text="cannibalisme">
      <formula>NOT(ISERROR(SEARCH("cannibalisme",Q4)))</formula>
    </cfRule>
  </conditionalFormatting>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36"/>
  <sheetViews>
    <sheetView workbookViewId="0">
      <pane ySplit="3" topLeftCell="A4" activePane="bottomLeft" state="frozen"/>
      <selection pane="bottomLeft" activeCell="A1" sqref="A1"/>
    </sheetView>
  </sheetViews>
  <sheetFormatPr baseColWidth="10" defaultRowHeight="14.5"/>
  <cols>
    <col width="45.453125" customWidth="1" style="24" min="1" max="1"/>
    <col width="21.81640625" customWidth="1" style="24" min="2" max="2"/>
    <col width="5.453125" customWidth="1" style="24" min="3" max="3"/>
    <col width="14.54296875" customWidth="1" style="24" min="4" max="4"/>
    <col width="18.1796875" customWidth="1" style="24" min="5" max="5"/>
    <col width="12.7265625" customWidth="1" style="24" min="6" max="6"/>
    <col width="17.26953125" customWidth="1" style="24" min="7" max="8"/>
    <col width="16.36328125" customWidth="1" style="24" min="9" max="9"/>
    <col width="18.1796875" customWidth="1" style="24" min="10" max="10"/>
    <col width="14.54296875" customWidth="1" style="24" min="11" max="11"/>
    <col width="20" customWidth="1" style="24" min="12" max="12"/>
    <col width="18.1796875" customWidth="1" style="24" min="13" max="13"/>
    <col width="23.6328125" customWidth="1" style="24" min="14" max="16"/>
    <col width="24.54296875" customWidth="1" style="24" min="17" max="17"/>
    <col width="29.08984375" customWidth="1" style="24" min="18" max="18"/>
  </cols>
  <sheetData>
    <row r="1" ht="18.5" customHeight="1" s="24">
      <c r="A1" s="53" t="inlineStr">
        <is>
          <t>PRICING WHEY RECOVERY — OUTIL D'AIDE À LA DÉCISION</t>
        </is>
      </c>
      <c r="B1" s="34" t="n"/>
      <c r="D1" s="53" t="inlineStr">
        <is>
          <t>STRUCTURE DE PRIX — WHEY RECOVERY — SIMULATION</t>
        </is>
      </c>
      <c r="E1" s="34" t="n"/>
      <c r="F1" s="34" t="n"/>
      <c r="G1" s="34" t="n"/>
      <c r="H1" s="34" t="n"/>
      <c r="I1" s="34" t="n"/>
      <c r="J1" s="34" t="n"/>
      <c r="K1" s="34" t="n"/>
      <c r="L1" s="34" t="n"/>
      <c r="M1" s="34" t="n"/>
      <c r="N1" s="34" t="n"/>
      <c r="O1" s="34" t="n"/>
      <c r="P1" s="34" t="n"/>
      <c r="Q1" s="34" t="n"/>
      <c r="R1" s="34" t="n"/>
    </row>
    <row r="2">
      <c r="A2" s="54" t="inlineStr">
        <is>
          <t>Impulse Nutrition — Dynamique / lié aux prix Concentrate &amp; Isolate retenus</t>
        </is>
      </c>
      <c r="B2" s="34" t="n"/>
    </row>
    <row r="3" ht="29" customHeight="1" s="24">
      <c r="D3" s="87" t="inlineStr">
        <is>
          <t>Option</t>
        </is>
      </c>
      <c r="E3" s="87" t="inlineStr">
        <is>
          <t>PP TTC</t>
        </is>
      </c>
      <c r="F3" s="87" t="inlineStr">
        <is>
          <t>TVA</t>
        </is>
      </c>
      <c r="G3" s="87" t="inlineStr">
        <is>
          <t>PP HT</t>
        </is>
      </c>
      <c r="H3" s="87" t="inlineStr">
        <is>
          <t>Tarif</t>
        </is>
      </c>
      <c r="I3" s="36" t="inlineStr">
        <is>
          <t>Remise
client</t>
        </is>
      </c>
      <c r="J3" s="87" t="inlineStr">
        <is>
          <t>PVM net</t>
        </is>
      </c>
      <c r="K3" s="87" t="inlineStr">
        <is>
          <t>PR</t>
        </is>
      </c>
      <c r="L3" s="36" t="inlineStr">
        <is>
          <t>Marge nette
unitaire (€)</t>
        </is>
      </c>
      <c r="M3" s="36" t="inlineStr">
        <is>
          <t>% Marge
nette</t>
        </is>
      </c>
      <c r="N3" s="162" t="inlineStr">
        <is>
          <t>Écart vs
Concentrate 🎯</t>
        </is>
      </c>
      <c r="O3" s="162" t="inlineStr">
        <is>
          <t>Écart vs
Isolate 🎯</t>
        </is>
      </c>
      <c r="P3" s="88" t="inlineStr">
        <is>
          <t>Position dans
la gamme</t>
        </is>
      </c>
      <c r="Q3" s="88" t="inlineStr">
        <is>
          <t>Anti-
Cannibalisme</t>
        </is>
      </c>
      <c r="R3" s="163" t="inlineStr">
        <is>
          <t>Recommandation</t>
        </is>
      </c>
    </row>
    <row r="4">
      <c r="A4" s="27" t="inlineStr">
        <is>
          <t>HYPOTHÈSES DE RÉFÉRENCE</t>
        </is>
      </c>
      <c r="B4" s="28" t="n"/>
      <c r="D4" s="41" t="inlineStr">
        <is>
          <t>Option 1</t>
        </is>
      </c>
      <c r="E4" s="184">
        <f>CEILING($B$26-4+0.1,1)-0.1</f>
        <v/>
      </c>
      <c r="F4" s="39">
        <f>$B$6</f>
        <v/>
      </c>
      <c r="G4" s="38">
        <f>E4/(1+F4)</f>
        <v/>
      </c>
      <c r="H4" s="38">
        <f>E4</f>
        <v/>
      </c>
      <c r="I4" s="39">
        <f>$B$7</f>
        <v/>
      </c>
      <c r="J4" s="89">
        <f>E4*(1-I4)</f>
        <v/>
      </c>
      <c r="K4" s="38">
        <f>$B$5</f>
        <v/>
      </c>
      <c r="L4" s="89">
        <f>J4-K4</f>
        <v/>
      </c>
      <c r="M4" s="90">
        <f>IF(J4=0,0,L4/J4)</f>
        <v/>
      </c>
      <c r="N4" s="40">
        <f>(E4-$B$11)/$B$11</f>
        <v/>
      </c>
      <c r="O4" s="40">
        <f>(E4-$B$12)/$B$12</f>
        <v/>
      </c>
      <c r="P4" s="41">
        <f>IF(E4&lt;=$B$11,"= Concentrate",IF(E4&gt;=$B$12,"≥ Isolate","Entre Conc. &amp; Iso."))</f>
        <v/>
      </c>
      <c r="Q4" s="41">
        <f>IF(ABS(N4)&lt;0.05,"⚠️ Trop proche Concentrate",IF(ABS(O4)&lt;0.05,"⚠️ Trop proche Isolate",IF(AND(N4&gt;=0.05,O4&lt;=-0.05),"✅ Bien espacé","⚠️ Vérifier")))</f>
        <v/>
      </c>
      <c r="R4" s="41">
        <f>IF(M4&lt;0.3,"⚠️ Marge insuffisante",IF(AND(M4&gt;=0.3,M4&lt;0.45),IF(AND(N4&gt;=0.05,O4&lt;=-0.05),"🎯 Optimal","⚠️ Espacement"),IF(M4&gt;=0.45,IF(AND(N4&gt;=0.05,O4&lt;=-0.05),"🔵 Premium","⚠️ Espacement"),"⚠️ Vérifier")))</f>
        <v/>
      </c>
    </row>
    <row r="5">
      <c r="A5" s="55" t="inlineStr">
        <is>
          <t>Prix de revient (PR HT)</t>
        </is>
      </c>
      <c r="B5" s="30" t="n">
        <v>12.15</v>
      </c>
      <c r="D5" s="41" t="inlineStr">
        <is>
          <t>Option 2</t>
        </is>
      </c>
      <c r="E5" s="184">
        <f>CEILING($B$26-3+0.1,1)-0.1</f>
        <v/>
      </c>
      <c r="F5">
        <f>$B$6</f>
        <v/>
      </c>
      <c r="G5">
        <f>E5/(1+F5)</f>
        <v/>
      </c>
      <c r="H5">
        <f>E5</f>
        <v/>
      </c>
      <c r="I5">
        <f>$B$7</f>
        <v/>
      </c>
      <c r="J5">
        <f>E5*(1-I5)</f>
        <v/>
      </c>
      <c r="K5">
        <f>$B$5</f>
        <v/>
      </c>
      <c r="L5">
        <f>J5-K5</f>
        <v/>
      </c>
      <c r="M5">
        <f>IF(J5=0,0,L5/J5)</f>
        <v/>
      </c>
      <c r="N5">
        <f>(E5-$B$11)/$B$11</f>
        <v/>
      </c>
      <c r="O5">
        <f>(E5-$B$12)/$B$12</f>
        <v/>
      </c>
      <c r="P5">
        <f>IF(E5&lt;=$B$11,"= Concentrate",IF(E5&gt;=$B$12,"≥ Isolate","Entre Conc. &amp; Iso."))</f>
        <v/>
      </c>
      <c r="Q5">
        <f>IF(ABS(N5)&lt;0.05,"⚠️ Trop proche Concentrate",IF(ABS(O5)&lt;0.05,"⚠️ Trop proche Isolate",IF(AND(N5&gt;=0.05,O5&lt;=-0.05),"✅ Bien espacé","⚠️ Vérifier")))</f>
        <v/>
      </c>
      <c r="R5">
        <f>IF(M5&lt;0.3,"⚠️ Marge insuffisante",IF(AND(M5&gt;=0.3,M5&lt;0.45),IF(AND(N5&gt;=0.05,O5&lt;=-0.05),"🎯 Optimal","⚠️ Espacement"),IF(M5&gt;=0.45,IF(AND(N5&gt;=0.05,O5&lt;=-0.05),"🔵 Premium","⚠️ Espacement"),"⚠️ Vérifier")))</f>
        <v/>
      </c>
    </row>
    <row r="6">
      <c r="A6" t="inlineStr">
        <is>
          <t>TVA</t>
        </is>
      </c>
      <c r="B6" s="31">
        <f>'Pricing Whey Concentrate'!B6</f>
        <v/>
      </c>
      <c r="D6" s="41" t="inlineStr">
        <is>
          <t>Option 3</t>
        </is>
      </c>
      <c r="E6" s="184">
        <f>CEILING($B$26-2+0.1,1)-0.1</f>
        <v/>
      </c>
      <c r="F6">
        <f>$B$6</f>
        <v/>
      </c>
      <c r="G6">
        <f>E6/(1+F6)</f>
        <v/>
      </c>
      <c r="H6">
        <f>E6</f>
        <v/>
      </c>
      <c r="I6">
        <f>$B$7</f>
        <v/>
      </c>
      <c r="J6">
        <f>E6*(1-I6)</f>
        <v/>
      </c>
      <c r="K6">
        <f>$B$5</f>
        <v/>
      </c>
      <c r="L6">
        <f>J6-K6</f>
        <v/>
      </c>
      <c r="M6">
        <f>IF(J6=0,0,L6/J6)</f>
        <v/>
      </c>
      <c r="N6">
        <f>(E6-$B$11)/$B$11</f>
        <v/>
      </c>
      <c r="O6">
        <f>(E6-$B$12)/$B$12</f>
        <v/>
      </c>
      <c r="P6">
        <f>IF(E6&lt;=$B$11,"= Concentrate",IF(E6&gt;=$B$12,"≥ Isolate","Entre Conc. &amp; Iso."))</f>
        <v/>
      </c>
      <c r="Q6">
        <f>IF(ABS(N6)&lt;0.05,"⚠️ Trop proche Concentrate",IF(ABS(O6)&lt;0.05,"⚠️ Trop proche Isolate",IF(AND(N6&gt;=0.05,O6&lt;=-0.05),"✅ Bien espacé","⚠️ Vérifier")))</f>
        <v/>
      </c>
      <c r="R6">
        <f>IF(M6&lt;0.3,"⚠️ Marge insuffisante",IF(AND(M6&gt;=0.3,M6&lt;0.45),IF(AND(N6&gt;=0.05,O6&lt;=-0.05),"🎯 Optimal","⚠️ Espacement"),IF(M6&gt;=0.45,IF(AND(N6&gt;=0.05,O6&lt;=-0.05),"🔵 Premium","⚠️ Espacement"),"⚠️ Vérifier")))</f>
        <v/>
      </c>
    </row>
    <row r="7">
      <c r="A7" t="inlineStr">
        <is>
          <t>Taux de remise client (site propre)</t>
        </is>
      </c>
      <c r="B7" s="31">
        <f>'Pricing Whey Concentrate'!B7</f>
        <v/>
      </c>
      <c r="D7" s="41" t="inlineStr">
        <is>
          <t>Option 4</t>
        </is>
      </c>
      <c r="E7" s="184">
        <f>CEILING($B$26-1+0.1,1)-0.1</f>
        <v/>
      </c>
      <c r="F7">
        <f>$B$6</f>
        <v/>
      </c>
      <c r="G7">
        <f>E7/(1+F7)</f>
        <v/>
      </c>
      <c r="H7">
        <f>E7</f>
        <v/>
      </c>
      <c r="I7">
        <f>$B$7</f>
        <v/>
      </c>
      <c r="J7">
        <f>E7*(1-I7)</f>
        <v/>
      </c>
      <c r="K7">
        <f>$B$5</f>
        <v/>
      </c>
      <c r="L7">
        <f>J7-K7</f>
        <v/>
      </c>
      <c r="M7">
        <f>IF(J7=0,0,L7/J7)</f>
        <v/>
      </c>
      <c r="N7">
        <f>(E7-$B$11)/$B$11</f>
        <v/>
      </c>
      <c r="O7">
        <f>(E7-$B$12)/$B$12</f>
        <v/>
      </c>
      <c r="P7">
        <f>IF(E7&lt;=$B$11,"= Concentrate",IF(E7&gt;=$B$12,"≥ Isolate","Entre Conc. &amp; Iso."))</f>
        <v/>
      </c>
      <c r="Q7">
        <f>IF(ABS(N7)&lt;0.05,"⚠️ Trop proche Concentrate",IF(ABS(O7)&lt;0.05,"⚠️ Trop proche Isolate",IF(AND(N7&gt;=0.05,O7&lt;=-0.05),"✅ Bien espacé","⚠️ Vérifier")))</f>
        <v/>
      </c>
      <c r="R7">
        <f>IF(M7&lt;0.3,"⚠️ Marge insuffisante",IF(AND(M7&gt;=0.3,M7&lt;0.45),IF(AND(N7&gt;=0.05,O7&lt;=-0.05),"🎯 Optimal","⚠️ Espacement"),IF(M7&gt;=0.45,IF(AND(N7&gt;=0.05,O7&lt;=-0.05),"🔵 Premium","⚠️ Espacement"),"⚠️ Vérifier")))</f>
        <v/>
      </c>
    </row>
    <row r="8">
      <c r="A8" t="inlineStr">
        <is>
          <t>Prix Impulse Recovery actuel</t>
        </is>
      </c>
      <c r="B8" s="32">
        <f>'Synthèse prix'!H5</f>
        <v/>
      </c>
      <c r="D8" s="41" t="inlineStr">
        <is>
          <t>Option 5</t>
        </is>
      </c>
      <c r="E8" s="185">
        <f>CEILING($B$26+0.1,1)-0.1</f>
        <v/>
      </c>
      <c r="F8">
        <f>$B$6</f>
        <v/>
      </c>
      <c r="G8">
        <f>E8/(1+F8)</f>
        <v/>
      </c>
      <c r="H8">
        <f>E8</f>
        <v/>
      </c>
      <c r="I8">
        <f>$B$7</f>
        <v/>
      </c>
      <c r="J8">
        <f>E8*(1-I8)</f>
        <v/>
      </c>
      <c r="K8">
        <f>$B$5</f>
        <v/>
      </c>
      <c r="L8">
        <f>J8-K8</f>
        <v/>
      </c>
      <c r="M8">
        <f>IF(J8=0,0,L8/J8)</f>
        <v/>
      </c>
      <c r="N8">
        <f>(E8-$B$11)/$B$11</f>
        <v/>
      </c>
      <c r="O8">
        <f>(E8-$B$12)/$B$12</f>
        <v/>
      </c>
      <c r="P8">
        <f>IF(E8&lt;=$B$11,"= Concentrate",IF(E8&gt;=$B$12,"≥ Isolate","Entre Conc. &amp; Iso."))</f>
        <v/>
      </c>
      <c r="Q8">
        <f>IF(ABS(N8)&lt;0.05,"⚠️ Trop proche Concentrate",IF(ABS(O8)&lt;0.05,"⚠️ Trop proche Isolate",IF(AND(N8&gt;=0.05,O8&lt;=-0.05),"✅ Bien espacé","⚠️ Vérifier")))</f>
        <v/>
      </c>
      <c r="R8">
        <f>IF(M8&lt;0.3,"⚠️ Marge insuffisante",IF(AND(M8&gt;=0.3,M8&lt;0.45),IF(AND(N8&gt;=0.05,O8&lt;=-0.05),"🎯 Optimal","⚠️ Espacement"),IF(M8&gt;=0.45,IF(AND(N8&gt;=0.05,O8&lt;=-0.05),"🔵 Premium","⚠️ Espacement"),"⚠️ Vérifier")))</f>
        <v/>
      </c>
    </row>
    <row r="9">
      <c r="D9" s="41" t="inlineStr">
        <is>
          <t>Option 6</t>
        </is>
      </c>
      <c r="E9" s="184">
        <f>CEILING($B$26+1+0.1,1)-0.1</f>
        <v/>
      </c>
      <c r="F9">
        <f>$B$6</f>
        <v/>
      </c>
      <c r="G9">
        <f>E9/(1+F9)</f>
        <v/>
      </c>
      <c r="H9">
        <f>E9</f>
        <v/>
      </c>
      <c r="I9">
        <f>$B$7</f>
        <v/>
      </c>
      <c r="J9">
        <f>E9*(1-I9)</f>
        <v/>
      </c>
      <c r="K9">
        <f>$B$5</f>
        <v/>
      </c>
      <c r="L9">
        <f>J9-K9</f>
        <v/>
      </c>
      <c r="M9">
        <f>IF(J9=0,0,L9/J9)</f>
        <v/>
      </c>
      <c r="N9">
        <f>(E9-$B$11)/$B$11</f>
        <v/>
      </c>
      <c r="O9">
        <f>(E9-$B$12)/$B$12</f>
        <v/>
      </c>
      <c r="P9">
        <f>IF(E9&lt;=$B$11,"= Concentrate",IF(E9&gt;=$B$12,"≥ Isolate","Entre Conc. &amp; Iso."))</f>
        <v/>
      </c>
      <c r="Q9">
        <f>IF(ABS(N9)&lt;0.05,"⚠️ Trop proche Concentrate",IF(ABS(O9)&lt;0.05,"⚠️ Trop proche Isolate",IF(AND(N9&gt;=0.05,O9&lt;=-0.05),"✅ Bien espacé","⚠️ Vérifier")))</f>
        <v/>
      </c>
      <c r="R9">
        <f>IF(M9&lt;0.3,"⚠️ Marge insuffisante",IF(AND(M9&gt;=0.3,M9&lt;0.45),IF(AND(N9&gt;=0.05,O9&lt;=-0.05),"🎯 Optimal","⚠️ Espacement"),IF(M9&gt;=0.45,IF(AND(N9&gt;=0.05,O9&lt;=-0.05),"🔵 Premium","⚠️ Espacement"),"⚠️ Vérifier")))</f>
        <v/>
      </c>
    </row>
    <row r="10">
      <c r="A10" s="155" t="inlineStr">
        <is>
          <t>PRIX RETENUS GAMME (🎯)</t>
        </is>
      </c>
      <c r="B10" s="156" t="n"/>
      <c r="D10" s="41" t="inlineStr">
        <is>
          <t>Option 7</t>
        </is>
      </c>
      <c r="E10" s="184">
        <f>CEILING($B$26+2+0.1,1)-0.1</f>
        <v/>
      </c>
      <c r="F10">
        <f>$B$6</f>
        <v/>
      </c>
      <c r="G10">
        <f>E10/(1+F10)</f>
        <v/>
      </c>
      <c r="H10">
        <f>E10</f>
        <v/>
      </c>
      <c r="I10">
        <f>$B$7</f>
        <v/>
      </c>
      <c r="J10">
        <f>E10*(1-I10)</f>
        <v/>
      </c>
      <c r="K10">
        <f>$B$5</f>
        <v/>
      </c>
      <c r="L10">
        <f>J10-K10</f>
        <v/>
      </c>
      <c r="M10">
        <f>IF(J10=0,0,L10/J10)</f>
        <v/>
      </c>
      <c r="N10">
        <f>(E10-$B$11)/$B$11</f>
        <v/>
      </c>
      <c r="O10">
        <f>(E10-$B$12)/$B$12</f>
        <v/>
      </c>
      <c r="P10">
        <f>IF(E10&lt;=$B$11,"= Concentrate",IF(E10&gt;=$B$12,"≥ Isolate","Entre Conc. &amp; Iso."))</f>
        <v/>
      </c>
      <c r="Q10">
        <f>IF(ABS(N10)&lt;0.05,"⚠️ Trop proche Concentrate",IF(ABS(O10)&lt;0.05,"⚠️ Trop proche Isolate",IF(AND(N10&gt;=0.05,O10&lt;=-0.05),"✅ Bien espacé","⚠️ Vérifier")))</f>
        <v/>
      </c>
      <c r="R10">
        <f>IF(M10&lt;0.3,"⚠️ Marge insuffisante",IF(AND(M10&gt;=0.3,M10&lt;0.45),IF(AND(N10&gt;=0.05,O10&lt;=-0.05),"🎯 Optimal","⚠️ Espacement"),IF(M10&gt;=0.45,IF(AND(N10&gt;=0.05,O10&lt;=-0.05),"🔵 Premium","⚠️ Espacement"),"⚠️ Vérifier")))</f>
        <v/>
      </c>
    </row>
    <row r="11">
      <c r="A11" t="inlineStr">
        <is>
          <t>PP TTC Concentrate retenu</t>
        </is>
      </c>
      <c r="B11" s="161">
        <f>'Pricing Whey Concentrate'!B36</f>
        <v/>
      </c>
      <c r="D11" s="41" t="inlineStr">
        <is>
          <t>Option 8</t>
        </is>
      </c>
      <c r="E11" s="184">
        <f>CEILING($B$26+3+0.1,1)-0.1</f>
        <v/>
      </c>
      <c r="F11">
        <f>$B$6</f>
        <v/>
      </c>
      <c r="G11">
        <f>E11/(1+F11)</f>
        <v/>
      </c>
      <c r="H11">
        <f>E11</f>
        <v/>
      </c>
      <c r="I11">
        <f>$B$7</f>
        <v/>
      </c>
      <c r="J11">
        <f>E11*(1-I11)</f>
        <v/>
      </c>
      <c r="K11">
        <f>$B$5</f>
        <v/>
      </c>
      <c r="L11">
        <f>J11-K11</f>
        <v/>
      </c>
      <c r="M11">
        <f>IF(J11=0,0,L11/J11)</f>
        <v/>
      </c>
      <c r="N11">
        <f>(E11-$B$11)/$B$11</f>
        <v/>
      </c>
      <c r="O11">
        <f>(E11-$B$12)/$B$12</f>
        <v/>
      </c>
      <c r="P11">
        <f>IF(E11&lt;=$B$11,"= Concentrate",IF(E11&gt;=$B$12,"≥ Isolate","Entre Conc. &amp; Iso."))</f>
        <v/>
      </c>
      <c r="Q11">
        <f>IF(ABS(N11)&lt;0.05,"⚠️ Trop proche Concentrate",IF(ABS(O11)&lt;0.05,"⚠️ Trop proche Isolate",IF(AND(N11&gt;=0.05,O11&lt;=-0.05),"✅ Bien espacé","⚠️ Vérifier")))</f>
        <v/>
      </c>
      <c r="R11">
        <f>IF(M11&lt;0.3,"⚠️ Marge insuffisante",IF(AND(M11&gt;=0.3,M11&lt;0.45),IF(AND(N11&gt;=0.05,O11&lt;=-0.05),"🎯 Optimal","⚠️ Espacement"),IF(M11&gt;=0.45,IF(AND(N11&gt;=0.05,O11&lt;=-0.05),"🔵 Premium","⚠️ Espacement"),"⚠️ Vérifier")))</f>
        <v/>
      </c>
    </row>
    <row r="12">
      <c r="A12" t="inlineStr">
        <is>
          <t>PP TTC Isolate retenu</t>
        </is>
      </c>
      <c r="B12" s="161">
        <f>'Pricing Whey Isolate'!B33</f>
        <v/>
      </c>
      <c r="D12" s="41" t="inlineStr">
        <is>
          <t>Option 9</t>
        </is>
      </c>
      <c r="E12" s="184">
        <f>CEILING($B$26+5+0.1,1)-0.1</f>
        <v/>
      </c>
      <c r="F12">
        <f>$B$6</f>
        <v/>
      </c>
      <c r="G12">
        <f>E12/(1+F12)</f>
        <v/>
      </c>
      <c r="H12">
        <f>E12</f>
        <v/>
      </c>
      <c r="I12">
        <f>$B$7</f>
        <v/>
      </c>
      <c r="J12">
        <f>E12*(1-I12)</f>
        <v/>
      </c>
      <c r="K12">
        <f>$B$5</f>
        <v/>
      </c>
      <c r="L12">
        <f>J12-K12</f>
        <v/>
      </c>
      <c r="M12">
        <f>IF(J12=0,0,L12/J12)</f>
        <v/>
      </c>
      <c r="N12">
        <f>(E12-$B$11)/$B$11</f>
        <v/>
      </c>
      <c r="O12">
        <f>(E12-$B$12)/$B$12</f>
        <v/>
      </c>
      <c r="P12">
        <f>IF(E12&lt;=$B$11,"= Concentrate",IF(E12&gt;=$B$12,"≥ Isolate","Entre Conc. &amp; Iso."))</f>
        <v/>
      </c>
      <c r="Q12">
        <f>IF(ABS(N12)&lt;0.05,"⚠️ Trop proche Concentrate",IF(ABS(O12)&lt;0.05,"⚠️ Trop proche Isolate",IF(AND(N12&gt;=0.05,O12&lt;=-0.05),"✅ Bien espacé","⚠️ Vérifier")))</f>
        <v/>
      </c>
      <c r="R12">
        <f>IF(M12&lt;0.3,"⚠️ Marge insuffisante",IF(AND(M12&gt;=0.3,M12&lt;0.45),IF(AND(N12&gt;=0.05,O12&lt;=-0.05),"🎯 Optimal","⚠️ Espacement"),IF(M12&gt;=0.45,IF(AND(N12&gt;=0.05,O12&lt;=-0.05),"🔵 Premium","⚠️ Espacement"),"⚠️ Vérifier")))</f>
        <v/>
      </c>
    </row>
    <row r="13">
      <c r="D13" s="41" t="inlineStr">
        <is>
          <t>Option 10</t>
        </is>
      </c>
      <c r="E13" s="184">
        <f>CEILING($B$26+7+0.1,1)-0.1</f>
        <v/>
      </c>
      <c r="F13">
        <f>$B$6</f>
        <v/>
      </c>
      <c r="G13">
        <f>E13/(1+F13)</f>
        <v/>
      </c>
      <c r="H13">
        <f>E13</f>
        <v/>
      </c>
      <c r="I13">
        <f>$B$7</f>
        <v/>
      </c>
      <c r="J13">
        <f>E13*(1-I13)</f>
        <v/>
      </c>
      <c r="K13">
        <f>$B$5</f>
        <v/>
      </c>
      <c r="L13">
        <f>J13-K13</f>
        <v/>
      </c>
      <c r="M13">
        <f>IF(J13=0,0,L13/J13)</f>
        <v/>
      </c>
      <c r="N13">
        <f>(E13-$B$11)/$B$11</f>
        <v/>
      </c>
      <c r="O13">
        <f>(E13-$B$12)/$B$12</f>
        <v/>
      </c>
      <c r="P13">
        <f>IF(E13&lt;=$B$11,"= Concentrate",IF(E13&gt;=$B$12,"≥ Isolate","Entre Conc. &amp; Iso."))</f>
        <v/>
      </c>
      <c r="Q13">
        <f>IF(ABS(N13)&lt;0.05,"⚠️ Trop proche Concentrate",IF(ABS(O13)&lt;0.05,"⚠️ Trop proche Isolate",IF(AND(N13&gt;=0.05,O13&lt;=-0.05),"✅ Bien espacé","⚠️ Vérifier")))</f>
        <v/>
      </c>
      <c r="R13">
        <f>IF(M13&lt;0.3,"⚠️ Marge insuffisante",IF(AND(M13&gt;=0.3,M13&lt;0.45),IF(AND(N13&gt;=0.05,O13&lt;=-0.05),"🎯 Optimal","⚠️ Espacement"),IF(M13&gt;=0.45,IF(AND(N13&gt;=0.05,O13&lt;=-0.05),"🔵 Premium","⚠️ Espacement"),"⚠️ Vérifier")))</f>
        <v/>
      </c>
    </row>
    <row r="14">
      <c r="A14" s="27" t="inlineStr">
        <is>
          <t>POSITIONNEMENT RECOVERY</t>
        </is>
      </c>
      <c r="B14" s="28" t="n"/>
    </row>
    <row r="15">
      <c r="A15" t="inlineStr">
        <is>
          <t>Le Recovery est un produit unique (concentré + créatine + collagène).</t>
        </is>
      </c>
    </row>
    <row r="16">
      <c r="A16" t="inlineStr">
        <is>
          <t>Il doit se positionner ENTRE la Concentrate et l'Isolate.</t>
        </is>
      </c>
    </row>
    <row r="17">
      <c r="A17" t="inlineStr">
        <is>
          <t>Son PR très bas (12,15€) permet des marges très élevées.</t>
        </is>
      </c>
    </row>
    <row r="18">
      <c r="A18" t="inlineStr">
        <is>
          <t>Écart Concentrate-Isolate actuel :</t>
        </is>
      </c>
      <c r="B18" s="186">
        <f>(B12-B11)/B11</f>
        <v/>
      </c>
    </row>
    <row r="20">
      <c r="A20" s="179" t="inlineStr">
        <is>
          <t>CALCUL AUTO — PRIX OPTIMAL (ALGO OPTION C)</t>
        </is>
      </c>
    </row>
    <row r="21">
      <c r="A21" s="180" t="inlineStr">
        <is>
          <t>PP pour marge 38% (plancher rentabilité)</t>
        </is>
      </c>
      <c r="B21" s="181">
        <f>CEILING($B$5/(1-0.38)/(1-$B$7)+0.1,1)-0.1</f>
        <v/>
      </c>
    </row>
    <row r="22">
      <c r="A22" s="180" t="inlineStr">
        <is>
          <t>PP pour marge 40% (cible marge)</t>
        </is>
      </c>
      <c r="B22" s="181">
        <f>CEILING($B$5/(1-0.40)/(1-$B$7)+0.1,1)-0.1</f>
        <v/>
      </c>
    </row>
    <row r="23">
      <c r="A23" s="180" t="inlineStr">
        <is>
          <t>PP plancher anti-cannib. (Concentrate +5%)</t>
        </is>
      </c>
      <c r="B23" s="181">
        <f>CEILING($B$11*1.05+0.1,1)-0.1</f>
        <v/>
      </c>
    </row>
    <row r="24">
      <c r="A24" s="180" t="inlineStr">
        <is>
          <t>PP plafond anti-cannib. (Isolate −5%)</t>
        </is>
      </c>
      <c r="B24" s="181">
        <f>CEILING($B$12*0.95+0.1,1)-0.1</f>
        <v/>
      </c>
    </row>
    <row r="25">
      <c r="A25" s="180" t="inlineStr">
        <is>
          <t>PP référence marché (Impulse actuel)</t>
        </is>
      </c>
      <c r="B25" s="181">
        <f>$B$8</f>
        <v/>
      </c>
    </row>
    <row r="26">
      <c r="A26" s="179" t="inlineStr">
        <is>
          <t>🎯 PP OPTIMAL (auto)</t>
        </is>
      </c>
      <c r="B26" s="182">
        <f>MAX($B$21,$B$23,MIN($B$25,$B$24))</f>
        <v/>
      </c>
    </row>
    <row r="27">
      <c r="A27" s="180" t="inlineStr">
        <is>
          <t>Marge théorique à PP optimal</t>
        </is>
      </c>
      <c r="B27" s="183">
        <f>IFERROR(($B$26*(1-$B$7)-$B$5)/($B$26*(1-$B$7)),0)</f>
        <v/>
      </c>
    </row>
    <row r="28">
      <c r="A28" s="180" t="inlineStr">
        <is>
          <t>Écart vs Concentrate retenu (€)</t>
        </is>
      </c>
      <c r="B28" s="181">
        <f>$B$26-$B$11</f>
        <v/>
      </c>
    </row>
    <row r="29">
      <c r="A29" s="180" t="inlineStr">
        <is>
          <t>Écart vs Isolate retenu (€)</t>
        </is>
      </c>
      <c r="B29" s="181">
        <f>$B$26-$B$12</f>
        <v/>
      </c>
    </row>
    <row r="31">
      <c r="A31" s="187" t="inlineStr">
        <is>
          <t>PRIX RETENU RECOVERY</t>
        </is>
      </c>
    </row>
    <row r="32">
      <c r="A32" s="188" t="inlineStr">
        <is>
          <t>PP TTC retenu (🎯 Optimal)</t>
        </is>
      </c>
      <c r="B32" s="189">
        <f>IFERROR(INDEX(E4:E13,MATCH("🎯 Optimal",R4:R13,0)),$B$26)</f>
        <v/>
      </c>
    </row>
    <row r="33">
      <c r="A33" s="188" t="inlineStr">
        <is>
          <t>PVM net retenu</t>
        </is>
      </c>
      <c r="B33" s="190">
        <f>$B$32*(1-$B$7)</f>
        <v/>
      </c>
    </row>
    <row r="34">
      <c r="A34" s="188" t="inlineStr">
        <is>
          <t>% Marge nette retenu</t>
        </is>
      </c>
      <c r="B34" s="191">
        <f>IFERROR(($B$33-$B$5)/$B$33,0)</f>
        <v/>
      </c>
    </row>
    <row r="35">
      <c r="A35" s="188" t="inlineStr">
        <is>
          <t>Écart vs Concentrate retenu (%)</t>
        </is>
      </c>
      <c r="B35" s="191">
        <f>IFERROR(($B$32-$B$11)/$B$11,0)</f>
        <v/>
      </c>
    </row>
    <row r="36">
      <c r="A36" s="188" t="inlineStr">
        <is>
          <t>Écart vs Isolate retenu (%)</t>
        </is>
      </c>
      <c r="B36" s="191">
        <f>IFERROR(($B$32-$B$12)/$B$12,0)</f>
        <v/>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2:F12"/>
  <sheetViews>
    <sheetView workbookViewId="0">
      <selection activeCell="B2" sqref="B2:F12"/>
    </sheetView>
  </sheetViews>
  <sheetFormatPr baseColWidth="10" defaultRowHeight="14.5"/>
  <sheetData>
    <row r="2" ht="21" customHeight="1" s="24">
      <c r="B2" s="192" t="inlineStr">
        <is>
          <t>Structure de prix</t>
        </is>
      </c>
      <c r="C2" s="144" t="inlineStr">
        <is>
          <t>Whey Concentrat</t>
        </is>
      </c>
      <c r="D2" s="144" t="inlineStr">
        <is>
          <t>Whey Concentrat</t>
        </is>
      </c>
      <c r="E2" s="146" t="inlineStr">
        <is>
          <t>Whey Isolat</t>
        </is>
      </c>
      <c r="F2" s="146" t="inlineStr">
        <is>
          <t>Whey Isolat</t>
        </is>
      </c>
    </row>
    <row r="3">
      <c r="B3" s="193" t="n"/>
      <c r="C3" s="145" t="inlineStr">
        <is>
          <t>Option 1</t>
        </is>
      </c>
      <c r="D3" s="145" t="inlineStr">
        <is>
          <t>Option 2</t>
        </is>
      </c>
      <c r="E3" s="147" t="inlineStr">
        <is>
          <t>Actuellement</t>
        </is>
      </c>
      <c r="F3" s="147" t="inlineStr">
        <is>
          <t>Demain</t>
        </is>
      </c>
    </row>
    <row r="4">
      <c r="B4" s="148" t="inlineStr">
        <is>
          <t>PPTTC</t>
        </is>
      </c>
      <c r="C4" s="194" t="n">
        <v>36.9</v>
      </c>
      <c r="D4" s="194" t="n">
        <v>39.9</v>
      </c>
      <c r="E4" s="194" t="n">
        <v>39.9</v>
      </c>
      <c r="F4" s="194" t="n">
        <v>49.9</v>
      </c>
    </row>
    <row r="5">
      <c r="B5" s="148" t="inlineStr">
        <is>
          <t>TVA</t>
        </is>
      </c>
      <c r="C5" s="150" t="n">
        <v>0.2</v>
      </c>
      <c r="D5" s="150" t="n">
        <v>0.055</v>
      </c>
      <c r="E5" s="150" t="n">
        <v>0.055</v>
      </c>
      <c r="F5" s="150" t="n">
        <v>0.055</v>
      </c>
    </row>
    <row r="6">
      <c r="B6" s="148" t="inlineStr">
        <is>
          <t>PPHT</t>
        </is>
      </c>
      <c r="C6" s="195" t="n">
        <v>30.75</v>
      </c>
      <c r="D6" s="195" t="n">
        <v>37.82</v>
      </c>
      <c r="E6" s="195" t="n">
        <v>37.82</v>
      </c>
      <c r="F6" s="195" t="n">
        <v>47.3</v>
      </c>
    </row>
    <row r="7">
      <c r="B7" s="148" t="inlineStr">
        <is>
          <t>Tarif</t>
        </is>
      </c>
      <c r="C7" s="195" t="n">
        <v>36.9</v>
      </c>
      <c r="D7" s="195" t="n">
        <v>39.9</v>
      </c>
      <c r="E7" s="195" t="n">
        <v>39.9</v>
      </c>
      <c r="F7" s="195" t="n">
        <v>49.9</v>
      </c>
    </row>
    <row r="8">
      <c r="B8" s="148" t="inlineStr">
        <is>
          <t>Taux de remise complet</t>
        </is>
      </c>
      <c r="C8" s="152" t="n">
        <v>0.18</v>
      </c>
      <c r="D8" s="152" t="n">
        <v>0.18</v>
      </c>
      <c r="E8" s="152" t="n">
        <v>0.18</v>
      </c>
      <c r="F8" s="152" t="n">
        <v>0.18</v>
      </c>
    </row>
    <row r="9">
      <c r="B9" s="148" t="inlineStr">
        <is>
          <t>PVM net</t>
        </is>
      </c>
      <c r="C9" s="195" t="n">
        <v>30.26</v>
      </c>
      <c r="D9" s="195" t="n">
        <v>32.72</v>
      </c>
      <c r="E9" s="195" t="n">
        <v>32.72</v>
      </c>
      <c r="F9" s="195" t="n">
        <v>40.92</v>
      </c>
    </row>
    <row r="10">
      <c r="B10" s="148" t="inlineStr">
        <is>
          <t xml:space="preserve">PR </t>
        </is>
      </c>
      <c r="C10" s="194" t="n">
        <v>21</v>
      </c>
      <c r="D10" s="194" t="n">
        <v>21</v>
      </c>
      <c r="E10" s="194" t="n">
        <v>25</v>
      </c>
      <c r="F10" s="194" t="n">
        <v>25</v>
      </c>
    </row>
    <row r="11">
      <c r="B11" s="148" t="inlineStr">
        <is>
          <t>Marge nette unitaire</t>
        </is>
      </c>
      <c r="C11" s="195" t="n">
        <v>9.26</v>
      </c>
      <c r="D11" s="195" t="n">
        <v>11.72</v>
      </c>
      <c r="E11" s="195" t="n">
        <v>7.72</v>
      </c>
      <c r="F11" s="195" t="n">
        <v>15.92</v>
      </c>
    </row>
    <row r="12">
      <c r="B12" s="148" t="inlineStr">
        <is>
          <t>% marge nette</t>
        </is>
      </c>
      <c r="C12" s="152" t="n">
        <v>0.31</v>
      </c>
      <c r="D12" s="152" t="n">
        <v>0.36</v>
      </c>
      <c r="E12" s="152" t="n">
        <v>0.24</v>
      </c>
      <c r="F12" s="152" t="n">
        <v>0.39</v>
      </c>
    </row>
  </sheetData>
  <mergeCells count="1">
    <mergeCell ref="B2:B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2026-04-14T09:46:31Z</dcterms:created>
  <dcterms:modified xmlns:dcterms="http://purl.org/dc/terms/" xmlns:xsi="http://www.w3.org/2001/XMLSchema-instance" xsi:type="dcterms:W3CDTF">2026-04-14T17:17:16Z</dcterms:modified>
  <cp:lastModifiedBy>Chloé Carrie</cp:lastModifiedBy>
</cp:coreProperties>
</file>