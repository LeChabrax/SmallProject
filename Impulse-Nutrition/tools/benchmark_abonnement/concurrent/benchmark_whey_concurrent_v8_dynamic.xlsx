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16320" windowWidth="29040" windowHeight="15720" tabRatio="600" firstSheet="4" activeTab="4" autoFilterDateGrouping="1"/>
  </bookViews>
  <sheets>
    <sheet xmlns:r="http://schemas.openxmlformats.org/officeDocument/2006/relationships" name="Pricing Grille C" sheetId="1" state="visible" r:id="rId1"/>
    <sheet xmlns:r="http://schemas.openxmlformats.org/officeDocument/2006/relationships" name="Pricing Dashboard A" sheetId="2" state="visible" r:id="rId2"/>
    <sheet xmlns:r="http://schemas.openxmlformats.org/officeDocument/2006/relationships" name="Benchmark détaillé" sheetId="3" state="visible" r:id="rId3"/>
    <sheet xmlns:r="http://schemas.openxmlformats.org/officeDocument/2006/relationships" name="Synthèse prix" sheetId="4" state="visible" r:id="rId4"/>
    <sheet xmlns:r="http://schemas.openxmlformats.org/officeDocument/2006/relationships" name="Discounts par marque" sheetId="5" state="visible" r:id="rId5"/>
    <sheet xmlns:r="http://schemas.openxmlformats.org/officeDocument/2006/relationships" name="Classement €⁄g protéine" sheetId="6" state="visible" r:id="rId6"/>
    <sheet xmlns:r="http://schemas.openxmlformats.org/officeDocument/2006/relationships" name="Data" sheetId="7" state="visible" r:id="rId7"/>
  </sheets>
  <definedNames/>
  <calcPr calcId="191029" fullCalcOnLoad="1"/>
</workbook>
</file>

<file path=xl/styles.xml><?xml version="1.0" encoding="utf-8"?>
<styleSheet xmlns="http://schemas.openxmlformats.org/spreadsheetml/2006/main">
  <numFmts count="10">
    <numFmt numFmtId="164" formatCode="0.00&quot; €&quot;"/>
    <numFmt numFmtId="165" formatCode="0.0000&quot; €&quot;"/>
    <numFmt numFmtId="166" formatCode="0&quot;%&quot;"/>
    <numFmt numFmtId="167" formatCode="#,##0.00\ \€"/>
    <numFmt numFmtId="168" formatCode="0.0%"/>
    <numFmt numFmtId="169" formatCode="\+0.0%;\-0.0%"/>
    <numFmt numFmtId="170" formatCode="#,##0.00\ &quot;€&quot;;[Red]\-#,##0.00\ &quot;€&quot;"/>
    <numFmt numFmtId="171" formatCode="\+0.0%"/>
    <numFmt numFmtId="172" formatCode="#,##0.00&quot; €&quot;"/>
    <numFmt numFmtId="173" formatCode="+0.0%;-0.0%;0.0%"/>
  </numFmts>
  <fonts count="49">
    <font>
      <name val="Calibri"/>
      <family val="2"/>
      <color theme="1"/>
      <sz val="11"/>
      <scheme val="minor"/>
    </font>
    <font>
      <name val="Calibri"/>
      <b val="1"/>
      <color rgb="FFFFFFFF"/>
      <sz val="11"/>
    </font>
    <font>
      <name val="Calibri"/>
      <b val="1"/>
      <sz val="11"/>
    </font>
    <font>
      <name val="Calibri"/>
      <b val="1"/>
      <color rgb="FFFFFFFF"/>
      <sz val="12"/>
    </font>
    <font>
      <name val="Calibri"/>
      <i val="1"/>
      <color rgb="FF1F3864"/>
      <sz val="11"/>
    </font>
    <font>
      <name val="Calibri"/>
      <i val="1"/>
      <color rgb="FF666666"/>
      <sz val="11"/>
    </font>
    <font>
      <name val="Calibri"/>
      <family val="2"/>
      <color theme="10"/>
      <sz val="11"/>
      <u val="single"/>
      <scheme val="minor"/>
    </font>
    <font>
      <name val="Calibri"/>
      <family val="2"/>
      <b val="1"/>
      <color theme="1"/>
      <sz val="11"/>
      <scheme val="minor"/>
    </font>
    <font>
      <name val="Calibri"/>
      <family val="2"/>
      <b val="1"/>
      <color rgb="FF1F4E79"/>
      <sz val="14"/>
      <scheme val="minor"/>
    </font>
    <font>
      <name val="Calibri"/>
      <family val="2"/>
      <i val="1"/>
      <color rgb="FF1F4E79"/>
      <sz val="11"/>
      <scheme val="minor"/>
    </font>
    <font>
      <name val="Calibri"/>
      <family val="2"/>
      <b val="1"/>
      <color rgb="FFFFFFFF"/>
      <sz val="11"/>
      <scheme val="minor"/>
    </font>
    <font>
      <name val="Calibri"/>
      <family val="2"/>
      <color rgb="FF0000FF"/>
      <sz val="11"/>
      <scheme val="minor"/>
    </font>
    <font>
      <name val="Calibri"/>
      <family val="2"/>
      <b val="1"/>
      <color rgb="FF0000FF"/>
      <sz val="11"/>
      <scheme val="minor"/>
    </font>
    <font>
      <name val="Tahoma"/>
      <charset val="1"/>
      <color indexed="81"/>
      <sz val="9"/>
    </font>
    <font>
      <name val="Tahoma"/>
      <charset val="1"/>
      <b val="1"/>
      <color indexed="81"/>
      <sz val="9"/>
    </font>
    <font>
      <name val="Calibri"/>
      <family val="2"/>
      <b val="1"/>
      <color rgb="FFFFFFFF"/>
      <sz val="12"/>
      <scheme val="minor"/>
    </font>
    <font>
      <name val="Calibri"/>
      <family val="2"/>
      <b val="1"/>
      <color rgb="FF006100"/>
      <sz val="11"/>
      <scheme val="minor"/>
    </font>
    <font>
      <name val="Calibri"/>
      <family val="2"/>
      <b val="1"/>
      <color rgb="FF006100"/>
      <sz val="14"/>
      <scheme val="minor"/>
    </font>
    <font>
      <name val="Calibri"/>
      <family val="2"/>
      <b val="1"/>
      <color rgb="FF9C0006"/>
      <sz val="11"/>
      <scheme val="minor"/>
    </font>
    <font>
      <name val="Calibri"/>
      <family val="2"/>
      <b val="1"/>
      <color rgb="FF9C0006"/>
      <sz val="14"/>
      <scheme val="minor"/>
    </font>
    <font>
      <name val="Calibri"/>
      <family val="2"/>
      <b val="1"/>
      <color rgb="FF1F4E79"/>
      <sz val="11"/>
      <scheme val="minor"/>
    </font>
    <font>
      <name val="Calibri"/>
      <family val="2"/>
      <b val="1"/>
      <color rgb="FFC00000"/>
      <sz val="11"/>
      <scheme val="minor"/>
    </font>
    <font>
      <name val="Arial"/>
      <family val="2"/>
      <b val="1"/>
      <color rgb="FF005555"/>
      <sz val="8"/>
    </font>
    <font>
      <name val="Arial"/>
      <family val="2"/>
      <b val="1"/>
      <color rgb="FFF08372"/>
      <sz val="8"/>
    </font>
    <font>
      <name val="Arial"/>
      <family val="2"/>
      <b val="1"/>
      <i val="1"/>
      <color rgb="FFF08372"/>
      <sz val="8"/>
    </font>
    <font>
      <name val="Arial"/>
      <family val="2"/>
      <color rgb="FF000000"/>
      <sz val="8"/>
    </font>
    <font>
      <name val="Arial"/>
      <b val="1"/>
      <color rgb="000F172A"/>
      <sz val="20"/>
    </font>
    <font>
      <name val="Arial"/>
      <i val="1"/>
      <color rgb="0064748B"/>
      <sz val="10"/>
    </font>
    <font>
      <name val="Arial"/>
      <b val="1"/>
      <color rgb="0064748B"/>
      <sz val="9"/>
    </font>
    <font>
      <name val="Arial"/>
      <i val="1"/>
      <color rgb="0064748B"/>
      <sz val="9"/>
    </font>
    <font>
      <name val="Consolas"/>
      <b val="1"/>
      <color rgb="000F172A"/>
      <sz val="11"/>
    </font>
    <font>
      <name val="Arial"/>
      <b val="1"/>
      <color rgb="00FFFFFF"/>
      <sz val="13"/>
    </font>
    <font>
      <name val="Arial"/>
      <b val="1"/>
      <color rgb="000F172A"/>
      <sz val="9"/>
    </font>
    <font>
      <name val="Arial"/>
      <b val="1"/>
      <color rgb="000F172A"/>
      <sz val="14"/>
    </font>
    <font>
      <name val="Arial"/>
      <b val="1"/>
      <color rgb="00DC2626"/>
      <sz val="20"/>
    </font>
    <font>
      <name val="Arial"/>
      <b val="1"/>
      <color rgb="0064748B"/>
      <sz val="8"/>
    </font>
    <font>
      <name val="Consolas"/>
      <color rgb="000F172A"/>
      <sz val="10"/>
    </font>
    <font>
      <name val="Arial"/>
      <i val="1"/>
      <color rgb="0064748B"/>
      <sz val="8"/>
    </font>
    <font>
      <name val="Arial"/>
      <b val="1"/>
      <color rgb="00FFFFFF"/>
      <sz val="10"/>
    </font>
    <font>
      <name val="Arial"/>
      <b val="1"/>
      <color rgb="00FFFFFF"/>
      <sz val="12"/>
    </font>
    <font>
      <name val="Arial"/>
      <b val="1"/>
      <color rgb="00FFFFFF"/>
      <sz val="9"/>
    </font>
    <font>
      <name val="Arial"/>
      <b val="1"/>
      <color rgb="0064748B"/>
      <sz val="10"/>
    </font>
    <font>
      <name val="Arial"/>
      <b val="1"/>
      <color rgb="001D4ED8"/>
      <sz val="11"/>
    </font>
    <font>
      <name val="Arial"/>
      <b val="1"/>
      <color rgb="00047857"/>
      <sz val="11"/>
    </font>
    <font>
      <name val="Arial"/>
      <b val="1"/>
      <color rgb="00B91C1C"/>
      <sz val="11"/>
    </font>
    <font>
      <name val="Arial"/>
      <b val="1"/>
      <color rgb="0064748B"/>
      <sz val="11"/>
    </font>
    <font>
      <name val="Arial"/>
      <color rgb="0064748B"/>
      <sz val="11"/>
    </font>
    <font>
      <name val="Arial"/>
      <color rgb="000F172A"/>
      <sz val="11"/>
    </font>
    <font>
      <name val="Arial"/>
      <b val="1"/>
      <color rgb="00DC2626"/>
      <sz val="9"/>
    </font>
  </fonts>
  <fills count="30">
    <fill>
      <patternFill/>
    </fill>
    <fill>
      <patternFill patternType="gray125"/>
    </fill>
    <fill>
      <patternFill patternType="solid">
        <fgColor rgb="FF4472C4"/>
        <bgColor rgb="FF4472C4"/>
      </patternFill>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2CC"/>
        <bgColor rgb="FFFFF2CC"/>
      </patternFill>
    </fill>
    <fill>
      <patternFill patternType="solid">
        <fgColor rgb="FFE8F0FE"/>
        <bgColor rgb="FFE8F0FE"/>
      </patternFill>
    </fill>
    <fill>
      <patternFill patternType="solid">
        <fgColor rgb="FFD6E4F0"/>
        <bgColor indexed="64"/>
      </patternFill>
    </fill>
    <fill>
      <patternFill patternType="solid">
        <fgColor rgb="FF1F4E79"/>
        <bgColor indexed="64"/>
      </patternFill>
    </fill>
    <fill>
      <patternFill patternType="solid">
        <fgColor rgb="FFFFF2CC"/>
        <bgColor indexed="64"/>
      </patternFill>
    </fill>
    <fill>
      <patternFill patternType="solid">
        <fgColor rgb="FFFFFF00"/>
        <bgColor indexed="64"/>
      </patternFill>
    </fill>
    <fill>
      <patternFill patternType="solid">
        <fgColor rgb="FFC6EFCE"/>
        <bgColor indexed="64"/>
      </patternFill>
    </fill>
    <fill>
      <patternFill patternType="solid">
        <fgColor rgb="FFBDD7EE"/>
        <bgColor indexed="64"/>
      </patternFill>
    </fill>
    <fill>
      <patternFill patternType="solid">
        <fgColor rgb="FFFFC7CE"/>
        <bgColor indexed="64"/>
      </patternFill>
    </fill>
    <fill>
      <patternFill patternType="solid">
        <fgColor rgb="FF548235"/>
        <bgColor indexed="64"/>
      </patternFill>
    </fill>
    <fill>
      <patternFill patternType="solid">
        <fgColor rgb="FFF2F2F2"/>
        <bgColor indexed="64"/>
      </patternFill>
    </fill>
    <fill>
      <patternFill patternType="solid">
        <fgColor rgb="FF2E75B6"/>
        <bgColor indexed="64"/>
      </patternFill>
    </fill>
    <fill>
      <patternFill patternType="solid">
        <fgColor rgb="FFC00000"/>
        <bgColor indexed="64"/>
      </patternFill>
    </fill>
    <fill>
      <patternFill patternType="solid">
        <fgColor rgb="FFCCF2ED"/>
        <bgColor rgb="FF000000"/>
      </patternFill>
    </fill>
    <fill>
      <patternFill patternType="solid">
        <fgColor rgb="FF006100"/>
        <bgColor indexed="64"/>
      </patternFill>
    </fill>
    <fill>
      <patternFill patternType="solid">
        <fgColor rgb="00F1F5F9"/>
        <bgColor rgb="00F1F5F9"/>
      </patternFill>
    </fill>
    <fill>
      <patternFill patternType="solid">
        <fgColor rgb="001D4ED8"/>
        <bgColor rgb="001D4ED8"/>
      </patternFill>
    </fill>
    <fill>
      <patternFill patternType="solid">
        <fgColor rgb="00047857"/>
        <bgColor rgb="00047857"/>
      </patternFill>
    </fill>
    <fill>
      <patternFill patternType="solid">
        <fgColor rgb="00B91C1C"/>
        <bgColor rgb="00B91C1C"/>
      </patternFill>
    </fill>
    <fill>
      <patternFill patternType="solid">
        <fgColor rgb="00F59E0B"/>
        <bgColor rgb="00F59E0B"/>
      </patternFill>
    </fill>
    <fill>
      <patternFill patternType="solid">
        <fgColor rgb="00FEF3C7"/>
        <bgColor rgb="00FEF3C7"/>
      </patternFill>
    </fill>
    <fill>
      <patternFill patternType="solid">
        <fgColor rgb="00DC2626"/>
        <bgColor rgb="00DC2626"/>
      </patternFill>
    </fill>
    <fill>
      <patternFill patternType="solid">
        <fgColor rgb="0064748B"/>
        <bgColor rgb="0064748B"/>
      </patternFill>
    </fill>
    <fill>
      <patternFill patternType="solid">
        <fgColor rgb="000F172A"/>
        <bgColor rgb="000F172A"/>
      </patternFill>
    </fill>
  </fills>
  <borders count="44">
    <border>
      <left/>
      <right/>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medium">
        <color auto="1"/>
      </top>
      <bottom/>
      <diagonal/>
    </border>
    <border>
      <left/>
      <right style="thin">
        <color rgb="FFA6A6A6"/>
      </right>
      <top style="medium">
        <color auto="1"/>
      </top>
      <bottom style="thin">
        <color rgb="FFA6A6A6"/>
      </bottom>
      <diagonal/>
    </border>
    <border>
      <left style="thin">
        <color rgb="FFA6A6A6"/>
      </left>
      <right style="thin">
        <color rgb="FFA6A6A6"/>
      </right>
      <top style="medium">
        <color auto="1"/>
      </top>
      <bottom style="thin">
        <color rgb="FFA6A6A6"/>
      </bottom>
      <diagonal/>
    </border>
    <border>
      <left style="thin">
        <color rgb="FFA6A6A6"/>
      </left>
      <right/>
      <top style="medium">
        <color auto="1"/>
      </top>
      <bottom style="thin">
        <color rgb="FFA6A6A6"/>
      </bottom>
      <diagonal/>
    </border>
    <border>
      <left/>
      <right style="thin">
        <color rgb="FFA6A6A6"/>
      </right>
      <top style="thin">
        <color rgb="FFA6A6A6"/>
      </top>
      <bottom style="medium">
        <color auto="1"/>
      </bottom>
      <diagonal/>
    </border>
    <border>
      <left style="thin">
        <color rgb="FFA6A6A6"/>
      </left>
      <right style="thin">
        <color rgb="FFA6A6A6"/>
      </right>
      <top style="thin">
        <color rgb="FFA6A6A6"/>
      </top>
      <bottom style="medium">
        <color auto="1"/>
      </bottom>
      <diagonal/>
    </border>
    <border>
      <left style="thin">
        <color rgb="FFA6A6A6"/>
      </left>
      <right/>
      <top style="thin">
        <color rgb="FFA6A6A6"/>
      </top>
      <bottom style="medium">
        <color auto="1"/>
      </bottom>
      <diagonal/>
    </border>
    <border>
      <left style="medium">
        <color auto="1"/>
      </left>
      <right style="thin">
        <color rgb="FFA6A6A6"/>
      </right>
      <top style="medium">
        <color auto="1"/>
      </top>
      <bottom style="thin">
        <color rgb="FFA6A6A6"/>
      </bottom>
      <diagonal/>
    </border>
    <border>
      <left style="medium">
        <color auto="1"/>
      </left>
      <right style="thin">
        <color rgb="FFA6A6A6"/>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1F4E79"/>
      </left>
      <right style="thin">
        <color rgb="FFA6A6A6"/>
      </right>
      <top style="medium">
        <color auto="1"/>
      </top>
      <bottom style="thin">
        <color rgb="FFA6A6A6"/>
      </bottom>
      <diagonal/>
    </border>
    <border>
      <left style="medium">
        <color rgb="FF1F4E79"/>
      </left>
      <right style="thin">
        <color rgb="FFA6A6A6"/>
      </right>
      <top style="thin">
        <color rgb="FFA6A6A6"/>
      </top>
      <bottom style="thin">
        <color rgb="FFA6A6A6"/>
      </bottom>
      <diagonal/>
    </border>
    <border>
      <left style="medium">
        <color rgb="FF1F4E79"/>
      </left>
      <right style="thin">
        <color rgb="FFA6A6A6"/>
      </right>
      <top style="thin">
        <color rgb="FFA6A6A6"/>
      </top>
      <bottom style="medium">
        <color auto="1"/>
      </bottom>
      <diagonal/>
    </border>
    <border>
      <left/>
      <right style="medium">
        <color auto="1"/>
      </right>
      <top style="medium">
        <color auto="1"/>
      </top>
      <bottom style="thin">
        <color rgb="FFA6A6A6"/>
      </bottom>
      <diagonal/>
    </border>
    <border>
      <left/>
      <right style="medium">
        <color auto="1"/>
      </right>
      <top style="thin">
        <color rgb="FFA6A6A6"/>
      </top>
      <bottom style="thin">
        <color rgb="FFA6A6A6"/>
      </bottom>
      <diagonal/>
    </border>
    <border>
      <left/>
      <right style="medium">
        <color auto="1"/>
      </right>
      <top style="thin">
        <color rgb="FFA6A6A6"/>
      </top>
      <bottom style="medium">
        <color auto="1"/>
      </bottom>
      <diagonal/>
    </border>
    <border>
      <left style="medium">
        <color rgb="FF548235"/>
      </left>
      <right style="thin">
        <color rgb="FFA6A6A6"/>
      </right>
      <top style="medium">
        <color auto="1"/>
      </top>
      <bottom style="thin">
        <color rgb="FFA6A6A6"/>
      </bottom>
      <diagonal/>
    </border>
    <border>
      <left style="medium">
        <color rgb="FF548235"/>
      </left>
      <right style="thin">
        <color rgb="FFA6A6A6"/>
      </right>
      <top style="thin">
        <color rgb="FFA6A6A6"/>
      </top>
      <bottom style="thin">
        <color rgb="FFA6A6A6"/>
      </bottom>
      <diagonal/>
    </border>
    <border>
      <left style="medium">
        <color rgb="FF548235"/>
      </left>
      <right style="thin">
        <color rgb="FFA6A6A6"/>
      </right>
      <top style="thin">
        <color rgb="FFA6A6A6"/>
      </top>
      <bottom style="medium">
        <color auto="1"/>
      </bottom>
      <diagonal/>
    </border>
    <border>
      <left/>
      <right/>
      <top style="thin">
        <color rgb="FF005555"/>
      </top>
      <bottom/>
      <diagonal/>
    </border>
    <border>
      <left/>
      <right/>
      <top/>
      <bottom style="thin">
        <color rgb="FF005555"/>
      </bottom>
      <diagonal/>
    </border>
    <border>
      <left style="medium">
        <color rgb="FF2E75B6"/>
      </left>
      <right style="thin">
        <color rgb="FFA6A6A6"/>
      </right>
      <top style="medium">
        <color auto="1"/>
      </top>
      <bottom style="thin">
        <color rgb="FFA6A6A6"/>
      </bottom>
      <diagonal/>
    </border>
    <border>
      <left style="medium">
        <color rgb="FF2E75B6"/>
      </left>
      <right style="thin">
        <color rgb="FFA6A6A6"/>
      </right>
      <top style="thin">
        <color rgb="FFA6A6A6"/>
      </top>
      <bottom style="thin">
        <color rgb="FFA6A6A6"/>
      </bottom>
      <diagonal/>
    </border>
    <border>
      <left style="medium">
        <color rgb="FF2E75B6"/>
      </left>
      <right style="thin">
        <color rgb="FFA6A6A6"/>
      </right>
      <top style="thin">
        <color rgb="FFA6A6A6"/>
      </top>
      <bottom style="medium">
        <color auto="1"/>
      </bottom>
      <diagonal/>
    </border>
    <border>
      <left/>
      <right/>
      <top style="medium">
        <color auto="1"/>
      </top>
      <bottom style="thin">
        <color rgb="FFA6A6A6"/>
      </bottom>
      <diagonal/>
    </border>
    <border>
      <left/>
      <right/>
      <top style="thin">
        <color rgb="FFA6A6A6"/>
      </top>
      <bottom style="medium">
        <color auto="1"/>
      </bottom>
      <diagonal/>
    </border>
    <border>
      <left/>
      <right/>
      <top style="thin">
        <color rgb="FF005555"/>
      </top>
      <bottom style="thin">
        <color rgb="FF005555"/>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2">
    <xf numFmtId="0" fontId="0" fillId="0" borderId="0"/>
    <xf numFmtId="0" fontId="6" fillId="0" borderId="0"/>
  </cellStyleXfs>
  <cellXfs count="237">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6" fillId="0" borderId="0" pivotButton="0" quotePrefix="0" xfId="1"/>
    <xf numFmtId="0" fontId="5" fillId="0" borderId="0" pivotButton="0" quotePrefix="0" xfId="0"/>
    <xf numFmtId="0" fontId="0" fillId="0" borderId="0" pivotButton="0" quotePrefix="0" xfId="0"/>
    <xf numFmtId="0" fontId="8" fillId="8" borderId="0" pivotButton="0" quotePrefix="0" xfId="0"/>
    <xf numFmtId="0" fontId="9" fillId="8" borderId="0" pivotButton="0" quotePrefix="0" xfId="0"/>
    <xf numFmtId="0" fontId="10" fillId="9" borderId="0" pivotButton="0" quotePrefix="0" xfId="0"/>
    <xf numFmtId="0" fontId="0" fillId="9" borderId="0" pivotButton="0" quotePrefix="0" xfId="0"/>
    <xf numFmtId="0" fontId="7" fillId="0" borderId="0" pivotButton="0" quotePrefix="0" xfId="0"/>
    <xf numFmtId="167" fontId="12" fillId="0" borderId="0" pivotButton="0" quotePrefix="0" xfId="0"/>
    <xf numFmtId="168" fontId="0" fillId="0" borderId="0" pivotButton="0" quotePrefix="0" xfId="0"/>
    <xf numFmtId="167" fontId="0" fillId="0" borderId="0" pivotButton="0" quotePrefix="0" xfId="0"/>
    <xf numFmtId="167" fontId="7" fillId="10" borderId="0" pivotButton="0" quotePrefix="0" xfId="0"/>
    <xf numFmtId="0" fontId="0" fillId="8" borderId="0" pivotButton="0" quotePrefix="0" xfId="0"/>
    <xf numFmtId="0" fontId="0" fillId="0" borderId="0" applyAlignment="1" pivotButton="0" quotePrefix="0" xfId="0">
      <alignment wrapText="1"/>
    </xf>
    <xf numFmtId="0" fontId="10" fillId="9" borderId="0" applyAlignment="1" pivotButton="0" quotePrefix="0" xfId="0">
      <alignment horizontal="center" wrapText="1"/>
    </xf>
    <xf numFmtId="167" fontId="12"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169" fontId="0" fillId="0" borderId="0" applyAlignment="1" pivotButton="0" quotePrefix="0" xfId="0">
      <alignment horizontal="center"/>
    </xf>
    <xf numFmtId="0" fontId="7" fillId="0" borderId="0" applyAlignment="1" pivotButton="0" quotePrefix="0" xfId="0">
      <alignment horizontal="center"/>
    </xf>
    <xf numFmtId="169" fontId="0" fillId="0" borderId="1" applyAlignment="1" pivotButton="0" quotePrefix="0" xfId="0">
      <alignment horizontal="center"/>
    </xf>
    <xf numFmtId="167" fontId="0" fillId="0" borderId="3" applyAlignment="1" pivotButton="0" quotePrefix="0" xfId="0">
      <alignment horizontal="center"/>
    </xf>
    <xf numFmtId="168" fontId="0" fillId="0" borderId="3" applyAlignment="1" pivotButton="0" quotePrefix="0" xfId="0">
      <alignment horizontal="center"/>
    </xf>
    <xf numFmtId="167" fontId="12" fillId="0" borderId="3" applyAlignment="1" pivotButton="0" quotePrefix="0" xfId="0">
      <alignment horizontal="center"/>
    </xf>
    <xf numFmtId="167" fontId="12" fillId="11" borderId="3" applyAlignment="1" pivotButton="0" quotePrefix="0" xfId="0">
      <alignment horizontal="center"/>
    </xf>
    <xf numFmtId="0" fontId="10" fillId="9" borderId="7" applyAlignment="1" pivotButton="0" quotePrefix="0" xfId="0">
      <alignment horizontal="center" wrapText="1"/>
    </xf>
    <xf numFmtId="0" fontId="10" fillId="9" borderId="8" applyAlignment="1" pivotButton="0" quotePrefix="0" xfId="0">
      <alignment horizontal="center" wrapText="1"/>
    </xf>
    <xf numFmtId="167" fontId="12" fillId="0" borderId="10" applyAlignment="1" pivotButton="0" quotePrefix="0" xfId="0">
      <alignment horizontal="center"/>
    </xf>
    <xf numFmtId="0" fontId="15" fillId="9" borderId="0" pivotButton="0" quotePrefix="0" xfId="0"/>
    <xf numFmtId="0" fontId="15" fillId="15" borderId="0" pivotButton="0" quotePrefix="0" xfId="0"/>
    <xf numFmtId="0" fontId="0" fillId="15" borderId="0" pivotButton="0" quotePrefix="0" xfId="0"/>
    <xf numFmtId="0" fontId="8" fillId="8" borderId="0" pivotButton="0" quotePrefix="0" xfId="0"/>
    <xf numFmtId="0" fontId="9" fillId="8" borderId="0" pivotButton="0" quotePrefix="0" xfId="0"/>
    <xf numFmtId="0" fontId="7" fillId="0" borderId="0" pivotButton="0" quotePrefix="0" xfId="0"/>
    <xf numFmtId="0" fontId="0" fillId="0" borderId="15" pivotButton="0" quotePrefix="0" xfId="0"/>
    <xf numFmtId="0" fontId="10" fillId="9" borderId="16" pivotButton="0" quotePrefix="0" xfId="0"/>
    <xf numFmtId="0" fontId="7" fillId="0" borderId="17" pivotButton="0" quotePrefix="0" xfId="0"/>
    <xf numFmtId="0" fontId="0" fillId="0" borderId="17" pivotButton="0" quotePrefix="0" xfId="0"/>
    <xf numFmtId="0" fontId="10" fillId="9" borderId="17" pivotButton="0" quotePrefix="0" xfId="0"/>
    <xf numFmtId="0" fontId="0" fillId="0" borderId="18" pivotButton="0" quotePrefix="0" xfId="0"/>
    <xf numFmtId="0" fontId="0" fillId="9" borderId="19" pivotButton="0" quotePrefix="0" xfId="0"/>
    <xf numFmtId="167" fontId="12" fillId="0" borderId="20" pivotButton="0" quotePrefix="0" xfId="0"/>
    <xf numFmtId="167" fontId="11" fillId="0" borderId="20" pivotButton="0" quotePrefix="0" xfId="0"/>
    <xf numFmtId="168" fontId="0" fillId="0" borderId="20" pivotButton="0" quotePrefix="0" xfId="0"/>
    <xf numFmtId="0" fontId="0" fillId="0" borderId="20" pivotButton="0" quotePrefix="0" xfId="0"/>
    <xf numFmtId="0" fontId="0" fillId="9" borderId="20" pivotButton="0" quotePrefix="0" xfId="0"/>
    <xf numFmtId="167" fontId="0" fillId="0" borderId="20" pivotButton="0" quotePrefix="0" xfId="0"/>
    <xf numFmtId="167" fontId="7" fillId="10" borderId="20" pivotButton="0" quotePrefix="0" xfId="0"/>
    <xf numFmtId="167" fontId="0" fillId="0" borderId="21" pivotButton="0" quotePrefix="0" xfId="0"/>
    <xf numFmtId="167" fontId="17" fillId="0" borderId="0" pivotButton="0" quotePrefix="0" xfId="0"/>
    <xf numFmtId="0" fontId="0" fillId="12" borderId="5" pivotButton="0" quotePrefix="0" xfId="0"/>
    <xf numFmtId="0" fontId="16" fillId="12" borderId="16" pivotButton="0" quotePrefix="0" xfId="0"/>
    <xf numFmtId="0" fontId="7" fillId="0" borderId="18" pivotButton="0" quotePrefix="0" xfId="0"/>
    <xf numFmtId="0" fontId="0" fillId="0" borderId="21" pivotButton="0" quotePrefix="0" xfId="0"/>
    <xf numFmtId="167" fontId="19" fillId="0" borderId="0" pivotButton="0" quotePrefix="0" xfId="0"/>
    <xf numFmtId="0" fontId="0" fillId="14" borderId="5" pivotButton="0" quotePrefix="0" xfId="0"/>
    <xf numFmtId="0" fontId="18" fillId="14" borderId="16" pivotButton="0" quotePrefix="0" xfId="0"/>
    <xf numFmtId="167" fontId="8" fillId="0" borderId="0" pivotButton="0" quotePrefix="0" xfId="0"/>
    <xf numFmtId="0" fontId="0" fillId="13" borderId="5" pivotButton="0" quotePrefix="0" xfId="0"/>
    <xf numFmtId="0" fontId="20" fillId="13" borderId="16" pivotButton="0" quotePrefix="0" xfId="0"/>
    <xf numFmtId="167" fontId="0" fillId="16" borderId="3" applyAlignment="1" pivotButton="0" quotePrefix="0" xfId="0">
      <alignment horizontal="center"/>
    </xf>
    <xf numFmtId="168" fontId="0" fillId="16" borderId="3" applyAlignment="1" pivotButton="0" quotePrefix="0" xfId="0">
      <alignment horizontal="center"/>
    </xf>
    <xf numFmtId="167" fontId="12" fillId="16" borderId="3" applyAlignment="1" pivotButton="0" quotePrefix="0" xfId="0">
      <alignment horizontal="center"/>
    </xf>
    <xf numFmtId="0" fontId="0" fillId="0" borderId="15" applyAlignment="1" pivotButton="0" quotePrefix="0" xfId="0">
      <alignment wrapText="1"/>
    </xf>
    <xf numFmtId="168" fontId="12" fillId="0" borderId="20" pivotButton="0" quotePrefix="0" xfId="0"/>
    <xf numFmtId="0" fontId="10" fillId="9" borderId="0" applyAlignment="1" pivotButton="0" quotePrefix="0" xfId="0">
      <alignment horizontal="center"/>
    </xf>
    <xf numFmtId="0" fontId="10" fillId="15" borderId="0" applyAlignment="1" pivotButton="0" quotePrefix="0" xfId="0">
      <alignment horizontal="center" wrapText="1"/>
    </xf>
    <xf numFmtId="167" fontId="7" fillId="0" borderId="0" applyAlignment="1" pivotButton="0" quotePrefix="0" xfId="0">
      <alignment horizontal="center"/>
    </xf>
    <xf numFmtId="9" fontId="7" fillId="0" borderId="0" applyAlignment="1" pivotButton="0" quotePrefix="0" xfId="0">
      <alignment horizontal="center"/>
    </xf>
    <xf numFmtId="169" fontId="0" fillId="16" borderId="1" applyAlignment="1" pivotButton="0" quotePrefix="0" xfId="0">
      <alignment horizontal="center"/>
    </xf>
    <xf numFmtId="167" fontId="7" fillId="16" borderId="3" applyAlignment="1" pivotButton="0" quotePrefix="0" xfId="0">
      <alignment horizontal="center"/>
    </xf>
    <xf numFmtId="167" fontId="7" fillId="0" borderId="3" applyAlignment="1" pivotButton="0" quotePrefix="0" xfId="0">
      <alignment horizontal="center"/>
    </xf>
    <xf numFmtId="168" fontId="0" fillId="11" borderId="3" applyAlignment="1" pivotButton="0" quotePrefix="0" xfId="0">
      <alignment horizontal="center"/>
    </xf>
    <xf numFmtId="167" fontId="0" fillId="11" borderId="3" applyAlignment="1" pivotButton="0" quotePrefix="0" xfId="0">
      <alignment horizontal="center"/>
    </xf>
    <xf numFmtId="167" fontId="7" fillId="11" borderId="3" applyAlignment="1" pivotButton="0" quotePrefix="0" xfId="0">
      <alignment horizontal="center"/>
    </xf>
    <xf numFmtId="0" fontId="10" fillId="9" borderId="7" applyAlignment="1" pivotButton="0" quotePrefix="0" xfId="0">
      <alignment horizontal="center"/>
    </xf>
    <xf numFmtId="168" fontId="0" fillId="0" borderId="10" applyAlignment="1" pivotButton="0" quotePrefix="0" xfId="0">
      <alignment horizontal="center"/>
    </xf>
    <xf numFmtId="167" fontId="0" fillId="0" borderId="10" applyAlignment="1" pivotButton="0" quotePrefix="0" xfId="0">
      <alignment horizontal="center"/>
    </xf>
    <xf numFmtId="167" fontId="7" fillId="0" borderId="10" applyAlignment="1" pivotButton="0" quotePrefix="0" xfId="0">
      <alignment horizontal="center"/>
    </xf>
    <xf numFmtId="0" fontId="10" fillId="9" borderId="12" applyAlignment="1" pivotButton="0" quotePrefix="0" xfId="0">
      <alignment horizontal="center"/>
    </xf>
    <xf numFmtId="0" fontId="7" fillId="16" borderId="13" applyAlignment="1" pivotButton="0" quotePrefix="0" xfId="0">
      <alignment horizontal="center"/>
    </xf>
    <xf numFmtId="0" fontId="7" fillId="0" borderId="13" applyAlignment="1" pivotButton="0" quotePrefix="0" xfId="0">
      <alignment horizontal="center"/>
    </xf>
    <xf numFmtId="0" fontId="7" fillId="11" borderId="13" applyAlignment="1" pivotButton="0" quotePrefix="0" xfId="0">
      <alignment horizontal="center"/>
    </xf>
    <xf numFmtId="0" fontId="7" fillId="0" borderId="14" applyAlignment="1" pivotButton="0" quotePrefix="0" xfId="0">
      <alignment horizontal="center"/>
    </xf>
    <xf numFmtId="9" fontId="7" fillId="16" borderId="4" applyAlignment="1" pivotButton="0" quotePrefix="0" xfId="0">
      <alignment horizontal="center"/>
    </xf>
    <xf numFmtId="9" fontId="7" fillId="0" borderId="4" applyAlignment="1" pivotButton="0" quotePrefix="0" xfId="0">
      <alignment horizontal="center"/>
    </xf>
    <xf numFmtId="9" fontId="7" fillId="11" borderId="4" applyAlignment="1" pivotButton="0" quotePrefix="0" xfId="0">
      <alignment horizontal="center"/>
    </xf>
    <xf numFmtId="9" fontId="7" fillId="0" borderId="11" applyAlignment="1" pivotButton="0" quotePrefix="0" xfId="0">
      <alignment horizontal="center"/>
    </xf>
    <xf numFmtId="0" fontId="10" fillId="17" borderId="6" applyAlignment="1" pivotButton="0" quotePrefix="0" xfId="0">
      <alignment horizontal="center" wrapText="1"/>
    </xf>
    <xf numFmtId="169" fontId="0" fillId="16" borderId="2" applyAlignment="1" pivotButton="0" quotePrefix="0" xfId="0">
      <alignment horizontal="center"/>
    </xf>
    <xf numFmtId="169" fontId="0" fillId="0" borderId="2" applyAlignment="1" pivotButton="0" quotePrefix="0" xfId="0">
      <alignment horizontal="center"/>
    </xf>
    <xf numFmtId="169" fontId="0" fillId="11" borderId="2" applyAlignment="1" pivotButton="0" quotePrefix="0" xfId="0">
      <alignment horizontal="center"/>
    </xf>
    <xf numFmtId="169" fontId="0" fillId="0" borderId="9" applyAlignment="1" pivotButton="0" quotePrefix="0" xfId="0">
      <alignment horizontal="center"/>
    </xf>
    <xf numFmtId="0" fontId="10" fillId="17" borderId="22" applyAlignment="1" pivotButton="0" quotePrefix="0" xfId="0">
      <alignment horizontal="center" wrapText="1"/>
    </xf>
    <xf numFmtId="169" fontId="0" fillId="16" borderId="23" applyAlignment="1" pivotButton="0" quotePrefix="0" xfId="0">
      <alignment horizontal="center"/>
    </xf>
    <xf numFmtId="169" fontId="0" fillId="0" borderId="23" applyAlignment="1" pivotButton="0" quotePrefix="0" xfId="0">
      <alignment horizontal="center"/>
    </xf>
    <xf numFmtId="169" fontId="0" fillId="11" borderId="23" applyAlignment="1" pivotButton="0" quotePrefix="0" xfId="0">
      <alignment horizontal="center"/>
    </xf>
    <xf numFmtId="169" fontId="0" fillId="0" borderId="24" applyAlignment="1" pivotButton="0" quotePrefix="0" xfId="0">
      <alignment horizontal="center"/>
    </xf>
    <xf numFmtId="0" fontId="10" fillId="17" borderId="8" applyAlignment="1" pivotButton="0" quotePrefix="0" xfId="0">
      <alignment horizontal="center" wrapText="1"/>
    </xf>
    <xf numFmtId="169" fontId="0" fillId="16" borderId="4" applyAlignment="1" pivotButton="0" quotePrefix="0" xfId="0">
      <alignment horizontal="center"/>
    </xf>
    <xf numFmtId="169" fontId="0" fillId="0" borderId="4" applyAlignment="1" pivotButton="0" quotePrefix="0" xfId="0">
      <alignment horizontal="center"/>
    </xf>
    <xf numFmtId="169" fontId="0" fillId="11" borderId="4" applyAlignment="1" pivotButton="0" quotePrefix="0" xfId="0">
      <alignment horizontal="center"/>
    </xf>
    <xf numFmtId="169" fontId="0" fillId="0" borderId="11" applyAlignment="1" pivotButton="0" quotePrefix="0" xfId="0">
      <alignment horizontal="center"/>
    </xf>
    <xf numFmtId="0" fontId="10" fillId="15" borderId="25" applyAlignment="1" pivotButton="0" quotePrefix="0" xfId="0">
      <alignment horizontal="center" wrapText="1"/>
    </xf>
    <xf numFmtId="0" fontId="7" fillId="16" borderId="26" applyAlignment="1" pivotButton="0" quotePrefix="0" xfId="0">
      <alignment horizontal="center"/>
    </xf>
    <xf numFmtId="0" fontId="7" fillId="0" borderId="26" applyAlignment="1" pivotButton="0" quotePrefix="0" xfId="0">
      <alignment horizontal="center"/>
    </xf>
    <xf numFmtId="0" fontId="7" fillId="11" borderId="26" applyAlignment="1" pivotButton="0" quotePrefix="0" xfId="0">
      <alignment horizontal="center"/>
    </xf>
    <xf numFmtId="0" fontId="7" fillId="0" borderId="27" applyAlignment="1" pivotButton="0" quotePrefix="0" xfId="0">
      <alignment horizontal="center"/>
    </xf>
    <xf numFmtId="0" fontId="10" fillId="15" borderId="28" applyAlignment="1" pivotButton="0" quotePrefix="0" xfId="0">
      <alignment horizontal="center" wrapText="1"/>
    </xf>
    <xf numFmtId="0" fontId="7" fillId="16" borderId="29" applyAlignment="1" pivotButton="0" quotePrefix="0" xfId="0">
      <alignment horizontal="center"/>
    </xf>
    <xf numFmtId="0" fontId="7" fillId="0" borderId="29" applyAlignment="1" pivotButton="0" quotePrefix="0" xfId="0">
      <alignment horizontal="center"/>
    </xf>
    <xf numFmtId="0" fontId="7" fillId="11" borderId="29" applyAlignment="1" pivotButton="0" quotePrefix="0" xfId="0">
      <alignment horizontal="center"/>
    </xf>
    <xf numFmtId="0" fontId="7" fillId="0" borderId="30" applyAlignment="1" pivotButton="0" quotePrefix="0" xfId="0">
      <alignment horizontal="center"/>
    </xf>
    <xf numFmtId="0" fontId="18" fillId="14" borderId="0" pivotButton="0" quotePrefix="0" xfId="0"/>
    <xf numFmtId="0" fontId="0" fillId="0" borderId="5" pivotButton="0" quotePrefix="0" xfId="0"/>
    <xf numFmtId="0" fontId="0" fillId="0" borderId="19" pivotButton="0" quotePrefix="0" xfId="0"/>
    <xf numFmtId="9" fontId="17" fillId="0" borderId="20" pivotButton="0" quotePrefix="0" xfId="0"/>
    <xf numFmtId="9" fontId="19" fillId="0" borderId="20" pivotButton="0" quotePrefix="0" xfId="0"/>
    <xf numFmtId="9" fontId="8" fillId="0" borderId="20" pivotButton="0" quotePrefix="0" xfId="0"/>
    <xf numFmtId="0" fontId="10" fillId="18" borderId="0" pivotButton="0" quotePrefix="0" xfId="0"/>
    <xf numFmtId="0" fontId="0" fillId="18" borderId="0" pivotButton="0" quotePrefix="0" xfId="0"/>
    <xf numFmtId="167" fontId="21" fillId="0" borderId="0" pivotButton="0" quotePrefix="0" xfId="0"/>
    <xf numFmtId="0" fontId="23" fillId="19" borderId="31" applyAlignment="1" pivotButton="0" quotePrefix="0" xfId="0">
      <alignment horizontal="center" vertical="center" wrapText="1"/>
    </xf>
    <xf numFmtId="0" fontId="23" fillId="19" borderId="32" applyAlignment="1" pivotButton="0" quotePrefix="0" xfId="0">
      <alignment horizontal="center" vertical="center" wrapText="1"/>
    </xf>
    <xf numFmtId="0" fontId="24" fillId="19" borderId="31" applyAlignment="1" pivotButton="0" quotePrefix="0" xfId="0">
      <alignment horizontal="center" vertical="center" wrapText="1"/>
    </xf>
    <xf numFmtId="0" fontId="24" fillId="19" borderId="32" applyAlignment="1" pivotButton="0" quotePrefix="0" xfId="0">
      <alignment horizontal="center" vertical="center" wrapText="1"/>
    </xf>
    <xf numFmtId="0" fontId="25" fillId="0" borderId="0" applyAlignment="1" pivotButton="0" quotePrefix="0" xfId="0">
      <alignment vertical="center"/>
    </xf>
    <xf numFmtId="170" fontId="25" fillId="19" borderId="0" applyAlignment="1" pivotButton="0" quotePrefix="0" xfId="0">
      <alignment vertical="center"/>
    </xf>
    <xf numFmtId="10" fontId="25" fillId="0" borderId="0" applyAlignment="1" pivotButton="0" quotePrefix="0" xfId="0">
      <alignment vertical="center"/>
    </xf>
    <xf numFmtId="170" fontId="25" fillId="0" borderId="0" applyAlignment="1" pivotButton="0" quotePrefix="0" xfId="0">
      <alignment vertical="center"/>
    </xf>
    <xf numFmtId="9" fontId="25" fillId="0" borderId="0" applyAlignment="1" pivotButton="0" quotePrefix="0" xfId="0">
      <alignment vertical="center"/>
    </xf>
    <xf numFmtId="0" fontId="22" fillId="0" borderId="31" applyAlignment="1" pivotButton="0" quotePrefix="0" xfId="0">
      <alignment horizontal="center" vertical="center"/>
    </xf>
    <xf numFmtId="0" fontId="22" fillId="0" borderId="32" applyAlignment="1" pivotButton="0" quotePrefix="0" xfId="0">
      <alignment horizontal="center" vertical="center"/>
    </xf>
    <xf numFmtId="0" fontId="10" fillId="20" borderId="0" pivotButton="0" quotePrefix="0" xfId="0"/>
    <xf numFmtId="0" fontId="0" fillId="20" borderId="0" pivotButton="0" quotePrefix="0" xfId="0"/>
    <xf numFmtId="167" fontId="17" fillId="12" borderId="0" pivotButton="0" quotePrefix="0" xfId="0"/>
    <xf numFmtId="167" fontId="7" fillId="0" borderId="0" pivotButton="0" quotePrefix="0" xfId="0"/>
    <xf numFmtId="168" fontId="7" fillId="0" borderId="0" pivotButton="0" quotePrefix="0" xfId="0"/>
    <xf numFmtId="0" fontId="20" fillId="8" borderId="0" applyAlignment="1" pivotButton="0" quotePrefix="0" xfId="0">
      <alignment wrapText="1"/>
    </xf>
    <xf numFmtId="167" fontId="16" fillId="12" borderId="0" pivotButton="0" quotePrefix="0" xfId="0"/>
    <xf numFmtId="0" fontId="10" fillId="20" borderId="0" applyAlignment="1" pivotButton="0" quotePrefix="0" xfId="0">
      <alignment horizontal="center" wrapText="1"/>
    </xf>
    <xf numFmtId="0" fontId="10" fillId="15" borderId="0" applyAlignment="1" pivotButton="0" quotePrefix="0" xfId="0">
      <alignment horizontal="center"/>
    </xf>
    <xf numFmtId="0" fontId="10" fillId="17" borderId="33" applyAlignment="1" pivotButton="0" quotePrefix="0" xfId="0">
      <alignment horizontal="center" wrapText="1"/>
    </xf>
    <xf numFmtId="169" fontId="0" fillId="16" borderId="34" applyAlignment="1" pivotButton="0" quotePrefix="0" xfId="0">
      <alignment horizontal="center"/>
    </xf>
    <xf numFmtId="169" fontId="0" fillId="0" borderId="34" applyAlignment="1" pivotButton="0" quotePrefix="0" xfId="0">
      <alignment horizontal="center"/>
    </xf>
    <xf numFmtId="169" fontId="0" fillId="0" borderId="35" applyAlignment="1" pivotButton="0" quotePrefix="0" xfId="0">
      <alignment horizontal="center"/>
    </xf>
    <xf numFmtId="0" fontId="10" fillId="20" borderId="36" applyAlignment="1" pivotButton="0" quotePrefix="0" xfId="0">
      <alignment horizontal="center" wrapText="1"/>
    </xf>
    <xf numFmtId="169" fontId="0" fillId="0" borderId="37" applyAlignment="1" pivotButton="0" quotePrefix="0" xfId="0">
      <alignment horizontal="center"/>
    </xf>
    <xf numFmtId="0" fontId="10" fillId="15" borderId="25" applyAlignment="1" pivotButton="0" quotePrefix="0" xfId="0">
      <alignment horizontal="center"/>
    </xf>
    <xf numFmtId="0" fontId="10" fillId="20" borderId="17" pivotButton="0" quotePrefix="0" xfId="0"/>
    <xf numFmtId="0" fontId="0" fillId="20" borderId="20" pivotButton="0" quotePrefix="0" xfId="0"/>
    <xf numFmtId="167" fontId="16" fillId="12" borderId="20" pivotButton="0" quotePrefix="0" xfId="0"/>
    <xf numFmtId="169" fontId="16" fillId="0" borderId="0" pivotButton="0" quotePrefix="0" xfId="0"/>
    <xf numFmtId="171" fontId="16" fillId="0" borderId="0" pivotButton="0" quotePrefix="0" xfId="0"/>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28" fillId="0" borderId="0" pivotButton="0" quotePrefix="0" xfId="0"/>
    <xf numFmtId="0" fontId="29" fillId="0" borderId="0" applyAlignment="1" pivotButton="0" quotePrefix="0" xfId="0">
      <alignment horizontal="right"/>
    </xf>
    <xf numFmtId="168" fontId="30" fillId="21" borderId="0" applyAlignment="1" pivotButton="0" quotePrefix="0" xfId="0">
      <alignment horizontal="center"/>
    </xf>
    <xf numFmtId="172" fontId="30" fillId="21" borderId="0" applyAlignment="1" pivotButton="0" quotePrefix="0" xfId="0">
      <alignment horizontal="center"/>
    </xf>
    <xf numFmtId="0" fontId="31" fillId="22" borderId="0" applyAlignment="1" pivotButton="0" quotePrefix="0" xfId="0">
      <alignment horizontal="left" vertical="center" indent="1"/>
    </xf>
    <xf numFmtId="0" fontId="31" fillId="23" borderId="0" applyAlignment="1" pivotButton="0" quotePrefix="0" xfId="0">
      <alignment horizontal="left" vertical="center" indent="1"/>
    </xf>
    <xf numFmtId="0" fontId="31" fillId="24" borderId="0" applyAlignment="1" pivotButton="0" quotePrefix="0" xfId="0">
      <alignment horizontal="left" vertical="center" indent="1"/>
    </xf>
    <xf numFmtId="0" fontId="32" fillId="0" borderId="0" applyAlignment="1" pivotButton="0" quotePrefix="0" xfId="0">
      <alignment horizontal="left" indent="1"/>
    </xf>
    <xf numFmtId="0" fontId="33" fillId="25" borderId="39" applyAlignment="1" pivotButton="0" quotePrefix="0" xfId="0">
      <alignment horizontal="center" vertical="center"/>
    </xf>
    <xf numFmtId="0" fontId="0" fillId="0" borderId="42" pivotButton="0" quotePrefix="0" xfId="0"/>
    <xf numFmtId="0" fontId="0" fillId="0" borderId="43" pivotButton="0" quotePrefix="0" xfId="0"/>
    <xf numFmtId="0" fontId="29" fillId="0" borderId="0" applyAlignment="1" pivotButton="0" quotePrefix="0" xfId="0">
      <alignment horizontal="left" indent="1"/>
    </xf>
    <xf numFmtId="172" fontId="34" fillId="26" borderId="39" applyAlignment="1" pivotButton="0" quotePrefix="0" xfId="0">
      <alignment horizontal="center" vertical="center"/>
    </xf>
    <xf numFmtId="168" fontId="33" fillId="0" borderId="0" applyAlignment="1" pivotButton="0" quotePrefix="0" xfId="0">
      <alignment horizontal="center" vertical="center"/>
    </xf>
    <xf numFmtId="0" fontId="35" fillId="0" borderId="0" applyAlignment="1" pivotButton="0" quotePrefix="0" xfId="0">
      <alignment horizontal="left" indent="1"/>
    </xf>
    <xf numFmtId="172" fontId="36" fillId="0" borderId="0" applyAlignment="1" pivotButton="0" quotePrefix="0" xfId="0">
      <alignment horizontal="center"/>
    </xf>
    <xf numFmtId="0" fontId="37" fillId="0" borderId="0" applyAlignment="1" pivotButton="0" quotePrefix="0" xfId="0">
      <alignment horizontal="center"/>
    </xf>
    <xf numFmtId="0" fontId="38" fillId="27" borderId="0" applyAlignment="1" pivotButton="0" quotePrefix="0" xfId="0">
      <alignment horizontal="left" indent="1"/>
    </xf>
    <xf numFmtId="172" fontId="39" fillId="27" borderId="0" applyAlignment="1" pivotButton="0" quotePrefix="0" xfId="0">
      <alignment horizontal="center" vertical="center"/>
    </xf>
    <xf numFmtId="0" fontId="40" fillId="28" borderId="0" applyAlignment="1" pivotButton="0" quotePrefix="0" xfId="0">
      <alignment horizontal="center" vertical="center"/>
    </xf>
    <xf numFmtId="0" fontId="41" fillId="0" borderId="0" applyAlignment="1" pivotButton="0" quotePrefix="0" xfId="0">
      <alignment horizontal="center"/>
    </xf>
    <xf numFmtId="172" fontId="36" fillId="0" borderId="0" applyAlignment="1" pivotButton="0" quotePrefix="0" xfId="0">
      <alignment horizontal="right" indent="1"/>
    </xf>
    <xf numFmtId="168" fontId="36" fillId="0" borderId="0" applyAlignment="1" pivotButton="0" quotePrefix="0" xfId="0">
      <alignment horizontal="right" indent="1"/>
    </xf>
    <xf numFmtId="0" fontId="0" fillId="0" borderId="0" applyAlignment="1" pivotButton="0" quotePrefix="0" xfId="0">
      <alignment horizontal="left" indent="1"/>
    </xf>
    <xf numFmtId="0" fontId="41" fillId="21" borderId="0" applyAlignment="1" pivotButton="0" quotePrefix="0" xfId="0">
      <alignment horizontal="center"/>
    </xf>
    <xf numFmtId="172" fontId="36" fillId="21" borderId="0" applyAlignment="1" pivotButton="0" quotePrefix="0" xfId="0">
      <alignment horizontal="right" indent="1"/>
    </xf>
    <xf numFmtId="168" fontId="36" fillId="21" borderId="0" applyAlignment="1" pivotButton="0" quotePrefix="0" xfId="0">
      <alignment horizontal="right" indent="1"/>
    </xf>
    <xf numFmtId="0" fontId="0" fillId="21" borderId="0" applyAlignment="1" pivotButton="0" quotePrefix="0" xfId="0">
      <alignment horizontal="left" indent="1"/>
    </xf>
    <xf numFmtId="0" fontId="41" fillId="26" borderId="0" applyAlignment="1" pivotButton="0" quotePrefix="0" xfId="0">
      <alignment horizontal="center"/>
    </xf>
    <xf numFmtId="172" fontId="36" fillId="26" borderId="0" applyAlignment="1" pivotButton="0" quotePrefix="0" xfId="0">
      <alignment horizontal="right" indent="1"/>
    </xf>
    <xf numFmtId="168" fontId="36" fillId="26" borderId="0" applyAlignment="1" pivotButton="0" quotePrefix="0" xfId="0">
      <alignment horizontal="right" indent="1"/>
    </xf>
    <xf numFmtId="0" fontId="0" fillId="26" borderId="0" applyAlignment="1" pivotButton="0" quotePrefix="0" xfId="0">
      <alignment horizontal="left" indent="1"/>
    </xf>
    <xf numFmtId="0" fontId="31" fillId="29" borderId="0" applyAlignment="1" pivotButton="0" quotePrefix="0" xfId="0">
      <alignment horizontal="left" vertical="center" indent="1"/>
    </xf>
    <xf numFmtId="0" fontId="42" fillId="0" borderId="0" applyAlignment="1" pivotButton="0" quotePrefix="0" xfId="0">
      <alignment horizontal="center"/>
    </xf>
    <xf numFmtId="0" fontId="43" fillId="0" borderId="0" applyAlignment="1" pivotButton="0" quotePrefix="0" xfId="0">
      <alignment horizontal="center"/>
    </xf>
    <xf numFmtId="0" fontId="44" fillId="0" borderId="0" applyAlignment="1" pivotButton="0" quotePrefix="0" xfId="0">
      <alignment horizontal="center"/>
    </xf>
    <xf numFmtId="0" fontId="45" fillId="0" borderId="0" applyAlignment="1" pivotButton="0" quotePrefix="0" xfId="0">
      <alignment horizontal="center"/>
    </xf>
    <xf numFmtId="173" fontId="33" fillId="0" borderId="0" applyAlignment="1" pivotButton="0" quotePrefix="0" xfId="0">
      <alignment horizontal="center" vertical="center"/>
    </xf>
    <xf numFmtId="168" fontId="33" fillId="0" borderId="0" applyAlignment="1" pivotButton="0" quotePrefix="0" xfId="0">
      <alignment horizontal="center"/>
    </xf>
    <xf numFmtId="173" fontId="46" fillId="0" borderId="0" applyAlignment="1" pivotButton="0" quotePrefix="0" xfId="0">
      <alignment horizontal="center"/>
    </xf>
    <xf numFmtId="0" fontId="47" fillId="0" borderId="0" applyAlignment="1" pivotButton="0" quotePrefix="0" xfId="0">
      <alignment horizontal="center"/>
    </xf>
    <xf numFmtId="0" fontId="29" fillId="0" borderId="0" pivotButton="0" quotePrefix="0" xfId="0"/>
    <xf numFmtId="0" fontId="37" fillId="0" borderId="0" applyAlignment="1" pivotButton="0" quotePrefix="0" xfId="0">
      <alignment horizontal="right"/>
    </xf>
    <xf numFmtId="172" fontId="36" fillId="0" borderId="0" applyAlignment="1" pivotButton="0" quotePrefix="0" xfId="0">
      <alignment horizontal="left" indent="1"/>
    </xf>
    <xf numFmtId="0" fontId="40" fillId="28" borderId="0" applyAlignment="1" pivotButton="0" quotePrefix="0" xfId="0">
      <alignment horizontal="center"/>
    </xf>
    <xf numFmtId="173" fontId="36" fillId="0" borderId="0" applyAlignment="1" pivotButton="0" quotePrefix="0" xfId="0">
      <alignment horizontal="right" indent="1"/>
    </xf>
    <xf numFmtId="0" fontId="0" fillId="0" borderId="0" applyAlignment="1" pivotButton="0" quotePrefix="0" xfId="0">
      <alignment horizontal="center"/>
    </xf>
    <xf numFmtId="173" fontId="36" fillId="21" borderId="0" applyAlignment="1" pivotButton="0" quotePrefix="0" xfId="0">
      <alignment horizontal="right" indent="1"/>
    </xf>
    <xf numFmtId="0" fontId="0" fillId="21" borderId="0" applyAlignment="1" pivotButton="0" quotePrefix="0" xfId="0">
      <alignment horizontal="center"/>
    </xf>
    <xf numFmtId="0" fontId="0" fillId="21" borderId="0" pivotButton="0" quotePrefix="0" xfId="0"/>
    <xf numFmtId="0" fontId="32" fillId="0" borderId="0" pivotButton="0" quotePrefix="0" xfId="0"/>
    <xf numFmtId="172" fontId="34" fillId="26" borderId="0" applyAlignment="1" pivotButton="0" quotePrefix="0" xfId="0">
      <alignment horizontal="center"/>
    </xf>
    <xf numFmtId="168" fontId="33" fillId="26" borderId="0" applyAlignment="1" pivotButton="0" quotePrefix="0" xfId="0">
      <alignment horizontal="center"/>
    </xf>
    <xf numFmtId="0" fontId="37" fillId="0" borderId="0" applyAlignment="1" pivotButton="0" quotePrefix="0" xfId="0">
      <alignment horizontal="right" indent="1"/>
    </xf>
    <xf numFmtId="0" fontId="48" fillId="0" borderId="0" applyAlignment="1" pivotButton="0" quotePrefix="0" xfId="0">
      <alignment horizontal="center"/>
    </xf>
    <xf numFmtId="0" fontId="22" fillId="0" borderId="38" applyAlignment="1" pivotButton="0" quotePrefix="0" xfId="0">
      <alignment horizontal="center" vertical="center"/>
    </xf>
    <xf numFmtId="0" fontId="0" fillId="0" borderId="32" pivotButton="0" quotePrefix="0" xfId="0"/>
    <xf numFmtId="170" fontId="25" fillId="19" borderId="0" applyAlignment="1" pivotButton="0" quotePrefix="0" xfId="0">
      <alignment vertical="center"/>
    </xf>
    <xf numFmtId="170" fontId="25" fillId="0" borderId="0" applyAlignment="1" pivotButton="0" quotePrefix="0" xfId="0">
      <alignment vertical="center"/>
    </xf>
  </cellXfs>
  <cellStyles count="2">
    <cellStyle name="Normal" xfId="0" builtinId="0"/>
    <cellStyle name="Lien hypertexte" xfId="1" builtinId="8"/>
  </cellStyles>
  <dxfs count="21">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nutripure.fr/fr/musculation/147-1115-whey-chocolat-isolate.html" TargetMode="External" Id="rId1"/><Relationship Type="http://schemas.openxmlformats.org/officeDocument/2006/relationships/hyperlink" Target="https://www.nutrimuscle.com/products/whey-native-isolate" TargetMode="External" Id="rId2"/><Relationship Type="http://schemas.openxmlformats.org/officeDocument/2006/relationships/hyperlink" Target="https://www.ericfavre.com/fr_fr/proteines/iso-zero-100-whey-proteine-choco-intense-1-5kg-p-194-o-1200.htm" TargetMode="External" Id="rId3"/><Relationship Type="http://schemas.openxmlformats.org/officeDocument/2006/relationships/hyperlink" Target="https://www.eafit.com/eafit-pure-isolate-premium.html" TargetMode="External" Id="rId4"/></Relationships>
</file>

<file path=xl/worksheets/sheet1.xml><?xml version="1.0" encoding="utf-8"?>
<worksheet xmlns="http://schemas.openxmlformats.org/spreadsheetml/2006/main">
  <sheetPr>
    <outlinePr summaryBelow="1" summaryRight="1"/>
    <pageSetUpPr/>
  </sheetPr>
  <dimension ref="A1:N38"/>
  <sheetViews>
    <sheetView workbookViewId="0">
      <pane ySplit="6" topLeftCell="A7" activePane="bottomLeft" state="frozen"/>
      <selection pane="bottomLeft" activeCell="A1" sqref="A1"/>
    </sheetView>
  </sheetViews>
  <sheetFormatPr baseColWidth="8" defaultRowHeight="15"/>
  <cols>
    <col width="5" customWidth="1" style="24" min="1" max="1"/>
    <col width="13" customWidth="1" style="24" min="2" max="2"/>
    <col width="12" customWidth="1" style="24" min="3" max="3"/>
    <col width="20" customWidth="1" style="24" min="4" max="4"/>
    <col width="2" customWidth="1" style="24" min="5" max="5"/>
    <col width="5" customWidth="1" style="24" min="6" max="6"/>
    <col width="13" customWidth="1" style="24" min="7" max="7"/>
    <col width="12" customWidth="1" style="24" min="8" max="8"/>
    <col width="20" customWidth="1" style="24" min="9" max="9"/>
    <col width="2" customWidth="1" style="24" min="10" max="10"/>
    <col width="5" customWidth="1" style="24" min="11" max="11"/>
    <col width="13" customWidth="1" style="24" min="12" max="12"/>
    <col width="12" customWidth="1" style="24" min="13" max="13"/>
    <col width="20" customWidth="1" style="24" min="14" max="14"/>
  </cols>
  <sheetData>
    <row r="1" ht="34" customHeight="1" s="24">
      <c r="A1" s="176" t="inlineStr">
        <is>
          <t>PRICING DYNAMIQUE · GRILLE 3 COLONNES</t>
        </is>
      </c>
    </row>
    <row r="2">
      <c r="A2" s="177" t="inlineStr">
        <is>
          <t>Les 3 produits en parallèle · 1 sélection Concentrate → Isolate &amp; Recovery se recalculent</t>
        </is>
      </c>
    </row>
    <row r="4">
      <c r="A4" s="178" t="inlineStr">
        <is>
          <t>HYPOTHÈSES PARTAGÉES</t>
        </is>
      </c>
    </row>
    <row r="5">
      <c r="A5" s="179" t="inlineStr">
        <is>
          <t>TVA</t>
        </is>
      </c>
      <c r="B5" s="180" t="n">
        <v>0.055</v>
      </c>
      <c r="C5" s="179" t="inlineStr">
        <is>
          <t>Remise</t>
        </is>
      </c>
      <c r="D5" s="180" t="n">
        <v>0.18</v>
      </c>
      <c r="E5" s="179" t="inlineStr">
        <is>
          <t>PR Conc</t>
        </is>
      </c>
      <c r="F5" s="181" t="n">
        <v>21</v>
      </c>
      <c r="G5" s="179" t="inlineStr">
        <is>
          <t>PR Iso</t>
        </is>
      </c>
      <c r="H5" s="181" t="n">
        <v>25</v>
      </c>
      <c r="I5" s="179" t="inlineStr">
        <is>
          <t>PR Rec</t>
        </is>
      </c>
      <c r="J5" s="181" t="n">
        <v>12.15</v>
      </c>
    </row>
    <row r="7" ht="28" customHeight="1" s="24">
      <c r="A7" s="182" t="inlineStr">
        <is>
          <t>▌ CONCENTRATE</t>
        </is>
      </c>
      <c r="F7" s="183" t="inlineStr">
        <is>
          <t>▌ ISOLATE   ⬅ cascade</t>
        </is>
      </c>
      <c r="K7" s="184" t="inlineStr">
        <is>
          <t>▌ RECOVERY   ⬅ cascade</t>
        </is>
      </c>
    </row>
    <row r="9">
      <c r="A9" s="185" t="inlineStr">
        <is>
          <t>🎯 Option sélectionnée</t>
        </is>
      </c>
      <c r="F9" s="185" t="inlineStr">
        <is>
          <t>🎯 Option sélectionnée</t>
        </is>
      </c>
      <c r="K9" s="185" t="inlineStr">
        <is>
          <t>🎯 Option sélectionnée</t>
        </is>
      </c>
    </row>
    <row r="10" ht="30" customHeight="1" s="24">
      <c r="B10" s="186" t="n">
        <v>5</v>
      </c>
      <c r="C10" s="187" t="n"/>
      <c r="D10" s="188" t="n"/>
      <c r="G10" s="186" t="n">
        <v>5</v>
      </c>
      <c r="H10" s="187" t="n"/>
      <c r="I10" s="188" t="n"/>
      <c r="L10" s="186" t="n">
        <v>5</v>
      </c>
      <c r="M10" s="187" t="n"/>
      <c r="N10" s="188" t="n"/>
    </row>
    <row r="12">
      <c r="A12" s="189" t="inlineStr">
        <is>
          <t>→ Prix retenu</t>
        </is>
      </c>
      <c r="F12" s="189" t="inlineStr">
        <is>
          <t>→ Prix retenu</t>
        </is>
      </c>
      <c r="K12" s="189" t="inlineStr">
        <is>
          <t>→ Prix retenu</t>
        </is>
      </c>
    </row>
    <row r="13" ht="36" customHeight="1" s="24">
      <c r="B13" s="190">
        <f>INDEX($B$29:$B$38,$B10)</f>
        <v/>
      </c>
      <c r="C13" s="187" t="n"/>
      <c r="D13" s="188" t="n"/>
      <c r="G13" s="190">
        <f>INDEX($G$29:$G$38,$G10)</f>
        <v/>
      </c>
      <c r="H13" s="187" t="n"/>
      <c r="I13" s="188" t="n"/>
      <c r="L13" s="190">
        <f>INDEX($L$29:$L$38,$L10)</f>
        <v/>
      </c>
      <c r="M13" s="187" t="n"/>
      <c r="N13" s="188" t="n"/>
    </row>
    <row r="14" ht="22" customHeight="1" s="24">
      <c r="A14" s="189" t="inlineStr">
        <is>
          <t>Marge nette</t>
        </is>
      </c>
      <c r="B14" s="191">
        <f>IFERROR((B13*(1-$D$5)-$F$5)/(B13*(1-$D$5)),0)</f>
        <v/>
      </c>
      <c r="F14" s="189" t="inlineStr">
        <is>
          <t>Marge nette</t>
        </is>
      </c>
      <c r="G14" s="191">
        <f>IFERROR((G13*(1-$D$5)-$H$5)/(G13*(1-$D$5)),0)</f>
        <v/>
      </c>
      <c r="K14" s="189" t="inlineStr">
        <is>
          <t>Marge nette</t>
        </is>
      </c>
      <c r="L14" s="191">
        <f>IFERROR((L13*(1-$D$5)-$J$5)/(L13*(1-$D$5)),0)</f>
        <v/>
      </c>
    </row>
    <row r="16">
      <c r="A16" s="192" t="inlineStr">
        <is>
          <t>BENCHMARK MARCHÉ</t>
        </is>
      </c>
      <c r="F16" s="192" t="inlineStr">
        <is>
          <t>BENCHMARK MARCHÉ</t>
        </is>
      </c>
      <c r="K16" s="192" t="inlineStr">
        <is>
          <t>BENCHMARK MARCHÉ</t>
        </is>
      </c>
    </row>
    <row r="17">
      <c r="A17" s="193">
        <f>AVERAGE('Synthèse prix'!H14,'Synthèse prix'!H15,'Synthèse prix'!H19,'Synthèse prix'!H20,'Synthèse prix'!H24,'Synthèse prix'!H25,'Synthèse prix'!H26,'Synthèse prix'!H31,'Synthèse prix'!H37,'Synthèse prix'!H50)</f>
        <v/>
      </c>
      <c r="B17" s="193">
        <f>MEDIAN('Synthèse prix'!H14,'Synthèse prix'!H15,'Synthèse prix'!H19,'Synthèse prix'!H20,'Synthèse prix'!H24,'Synthèse prix'!H25,'Synthèse prix'!H26,'Synthèse prix'!H31,'Synthèse prix'!H37,'Synthèse prix'!H50)</f>
        <v/>
      </c>
      <c r="C17" s="193">
        <f>MIN('Synthèse prix'!H14,'Synthèse prix'!H15,'Synthèse prix'!H19,'Synthèse prix'!H20,'Synthèse prix'!H24,'Synthèse prix'!H25,'Synthèse prix'!H26,'Synthèse prix'!H31,'Synthèse prix'!H37,'Synthèse prix'!H50)</f>
        <v/>
      </c>
      <c r="D17" s="193">
        <f>MAX('Synthèse prix'!H14,'Synthèse prix'!H15,'Synthèse prix'!H19,'Synthèse prix'!H20,'Synthèse prix'!H24,'Synthèse prix'!H25,'Synthèse prix'!H26,'Synthèse prix'!H31,'Synthèse prix'!H37,'Synthèse prix'!H50)</f>
        <v/>
      </c>
      <c r="F17" s="193">
        <f>AVERAGE('Synthèse prix'!H7,'Synthèse prix'!H10,'Synthèse prix'!H11,'Synthèse prix'!H18,'Synthèse prix'!H21,'Synthèse prix'!H22,'Synthèse prix'!H23,'Synthèse prix'!H29,'Synthèse prix'!H30,'Synthèse prix'!H35,'Synthèse prix'!H41,'Synthèse prix'!H47)</f>
        <v/>
      </c>
      <c r="G17" s="193">
        <f>MEDIAN('Synthèse prix'!H7,'Synthèse prix'!H10,'Synthèse prix'!H11,'Synthèse prix'!H18,'Synthèse prix'!H21,'Synthèse prix'!H22,'Synthèse prix'!H23,'Synthèse prix'!H29,'Synthèse prix'!H30,'Synthèse prix'!H35,'Synthèse prix'!H41,'Synthèse prix'!H47)</f>
        <v/>
      </c>
      <c r="H17" s="193">
        <f>MIN('Synthèse prix'!H7,'Synthèse prix'!H10,'Synthèse prix'!H11,'Synthèse prix'!H18,'Synthèse prix'!H21,'Synthèse prix'!H22,'Synthèse prix'!H23,'Synthèse prix'!H29,'Synthèse prix'!H30,'Synthèse prix'!H35,'Synthèse prix'!H41,'Synthèse prix'!H47)</f>
        <v/>
      </c>
      <c r="I17" s="193">
        <f>MAX('Synthèse prix'!H7,'Synthèse prix'!H10,'Synthèse prix'!H11,'Synthèse prix'!H18,'Synthèse prix'!H21,'Synthèse prix'!H22,'Synthèse prix'!H23,'Synthèse prix'!H29,'Synthèse prix'!H30,'Synthèse prix'!H35,'Synthèse prix'!H41,'Synthèse prix'!H47)</f>
        <v/>
      </c>
      <c r="K17" s="193">
        <f>AVERAGE('Synthèse prix'!H5,'Synthèse prix'!H6,'Synthèse prix'!H32)</f>
        <v/>
      </c>
      <c r="L17" s="193">
        <f>MEDIAN('Synthèse prix'!H5,'Synthèse prix'!H6,'Synthèse prix'!H32)</f>
        <v/>
      </c>
      <c r="M17" s="193">
        <f>MIN('Synthèse prix'!H5,'Synthèse prix'!H6,'Synthèse prix'!H32)</f>
        <v/>
      </c>
      <c r="N17" s="193">
        <f>MAX('Synthèse prix'!H5,'Synthèse prix'!H6,'Synthèse prix'!H32)</f>
        <v/>
      </c>
    </row>
    <row r="18">
      <c r="A18" s="194" t="inlineStr">
        <is>
          <t>Moy</t>
        </is>
      </c>
      <c r="B18" s="194" t="inlineStr">
        <is>
          <t>Méd</t>
        </is>
      </c>
      <c r="C18" s="194" t="inlineStr">
        <is>
          <t>Min</t>
        </is>
      </c>
      <c r="D18" s="194" t="inlineStr">
        <is>
          <t>Max</t>
        </is>
      </c>
      <c r="F18" s="194" t="inlineStr">
        <is>
          <t>Moy</t>
        </is>
      </c>
      <c r="G18" s="194" t="inlineStr">
        <is>
          <t>Méd</t>
        </is>
      </c>
      <c r="H18" s="194" t="inlineStr">
        <is>
          <t>Min</t>
        </is>
      </c>
      <c r="I18" s="194" t="inlineStr">
        <is>
          <t>Max</t>
        </is>
      </c>
      <c r="K18" s="194" t="inlineStr">
        <is>
          <t>Moy</t>
        </is>
      </c>
      <c r="L18" s="194" t="inlineStr">
        <is>
          <t>Méd</t>
        </is>
      </c>
      <c r="M18" s="194" t="inlineStr">
        <is>
          <t>Min</t>
        </is>
      </c>
      <c r="N18" s="194" t="inlineStr">
        <is>
          <t>Max</t>
        </is>
      </c>
    </row>
    <row r="20">
      <c r="F20" s="192" t="inlineStr">
        <is>
          <t>CALCUL AUTO — Algo Option C</t>
        </is>
      </c>
      <c r="K20" s="192" t="inlineStr">
        <is>
          <t>CALCUL AUTO — Algo Option C</t>
        </is>
      </c>
    </row>
    <row r="21">
      <c r="F21" s="189" t="inlineStr">
        <is>
          <t>Plancher marge 38%</t>
        </is>
      </c>
      <c r="I21" s="193">
        <f>CEILING($H$5/(1-0.38)/(1-$D$5)+0.1,1)-0.1</f>
        <v/>
      </c>
      <c r="K21" s="189" t="inlineStr">
        <is>
          <t>Plancher marge 38%</t>
        </is>
      </c>
      <c r="N21" s="193">
        <f>CEILING($J$5/(1-0.38)/(1-$D$5)+0.1,1)-0.1</f>
        <v/>
      </c>
    </row>
    <row r="22">
      <c r="F22" s="189" t="inlineStr">
        <is>
          <t>Cible marge 40%</t>
        </is>
      </c>
      <c r="I22" s="193">
        <f>CEILING($H$5/(1-0.40)/(1-$D$5)+0.1,1)-0.1</f>
        <v/>
      </c>
      <c r="K22" s="189" t="inlineStr">
        <is>
          <t>Plancher C+5%</t>
        </is>
      </c>
      <c r="N22" s="193">
        <f>CEILING(B13*1.05+0.1,1)-0.1</f>
        <v/>
      </c>
    </row>
    <row r="23">
      <c r="F23" s="189" t="inlineStr">
        <is>
          <t>Anti-cannib (C×1,10)</t>
        </is>
      </c>
      <c r="I23" s="193">
        <f>CEILING(B13*1.10+0.1,1)-0.1</f>
        <v/>
      </c>
      <c r="K23" s="189" t="inlineStr">
        <is>
          <t>Plafond I−5%</t>
        </is>
      </c>
      <c r="N23" s="193">
        <f>CEILING(G13*0.95+0.1,1)-0.1</f>
        <v/>
      </c>
    </row>
    <row r="24">
      <c r="F24" s="189" t="inlineStr">
        <is>
          <t>Marché médiane</t>
        </is>
      </c>
      <c r="I24" s="193">
        <f>MEDIAN('Synthèse prix'!H7,'Synthèse prix'!H10,'Synthèse prix'!H11,'Synthèse prix'!H18,'Synthèse prix'!H21,'Synthèse prix'!H22,'Synthèse prix'!H23,'Synthèse prix'!H29,'Synthèse prix'!H30,'Synthèse prix'!H35,'Synthèse prix'!H41,'Synthèse prix'!H47)</f>
        <v/>
      </c>
      <c r="K24" s="189" t="inlineStr">
        <is>
          <t>Marché réf (Impulse)</t>
        </is>
      </c>
      <c r="N24" s="193">
        <f>'Synthèse prix'!H5</f>
        <v/>
      </c>
    </row>
    <row r="25">
      <c r="F25" s="195" t="inlineStr">
        <is>
          <t>→ PP OPTIMAL</t>
        </is>
      </c>
      <c r="I25" s="196">
        <f>MAX(I21,I23,MIN(I22,I24))</f>
        <v/>
      </c>
      <c r="K25" s="195" t="inlineStr">
        <is>
          <t>→ PP OPTIMAL</t>
        </is>
      </c>
      <c r="N25" s="196">
        <f>MAX(N21,N22,MIN(N23,N24))</f>
        <v/>
      </c>
    </row>
    <row r="27" ht="22" customHeight="1" s="24">
      <c r="A27" s="197" t="inlineStr">
        <is>
          <t>#</t>
        </is>
      </c>
      <c r="B27" s="197" t="inlineStr">
        <is>
          <t>Prix</t>
        </is>
      </c>
      <c r="C27" s="197" t="inlineStr">
        <is>
          <t>Marge %</t>
        </is>
      </c>
      <c r="D27" s="197" t="inlineStr">
        <is>
          <t>Flag</t>
        </is>
      </c>
      <c r="F27" s="197" t="inlineStr">
        <is>
          <t>#</t>
        </is>
      </c>
      <c r="G27" s="197" t="inlineStr">
        <is>
          <t>Prix</t>
        </is>
      </c>
      <c r="H27" s="197" t="inlineStr">
        <is>
          <t>Marge %</t>
        </is>
      </c>
      <c r="I27" s="197" t="inlineStr">
        <is>
          <t>Flag</t>
        </is>
      </c>
      <c r="K27" s="197" t="inlineStr">
        <is>
          <t>#</t>
        </is>
      </c>
      <c r="L27" s="197" t="inlineStr">
        <is>
          <t>Prix</t>
        </is>
      </c>
      <c r="M27" s="197" t="inlineStr">
        <is>
          <t>Marge %</t>
        </is>
      </c>
      <c r="N27" s="197" t="inlineStr">
        <is>
          <t>Flag</t>
        </is>
      </c>
    </row>
    <row r="29">
      <c r="A29" s="198" t="n">
        <v>1</v>
      </c>
      <c r="B29" s="199" t="n">
        <v>29.9</v>
      </c>
      <c r="C29" s="200">
        <f>IFERROR((B29*(1-$D$5)-$F$5)/(B29*(1-$D$5)),0)</f>
        <v/>
      </c>
      <c r="D29" s="201">
        <f>IF(C29&lt;0.30,"⚠️ Marge basse",IF(C29&lt;0.35,"🟡 Limite",IF(C29&lt;=0.42,"🎯 Optimal","🔵 Premium")))</f>
        <v/>
      </c>
      <c r="F29" s="198" t="n">
        <v>1</v>
      </c>
      <c r="G29" s="199">
        <f>CEILING(I25-4+0.1,1)-0.1</f>
        <v/>
      </c>
      <c r="H29" s="200">
        <f>IFERROR((G29*(1-$D$5)-$H$5)/(G29*(1-$D$5)),0)</f>
        <v/>
      </c>
      <c r="I29" s="201">
        <f>IF(H29&lt;0.30,"⚠️ Marge basse",IF(IFERROR((G29-B13)/B13,0)&lt;0.1,"🚫 Cannibalisme",IF(H29&lt;0.35,"🟡 Limite",IF(H29&lt;=0.42,"🎯 Optimal","🔵 Premium"))))</f>
        <v/>
      </c>
      <c r="K29" s="198" t="n">
        <v>1</v>
      </c>
      <c r="L29" s="199">
        <f>CEILING(N25-4+0.1,1)-0.1</f>
        <v/>
      </c>
      <c r="M29" s="200">
        <f>IFERROR((L29*(1-$D$5)-$J$5)/(L29*(1-$D$5)),0)</f>
        <v/>
      </c>
      <c r="N29" s="201">
        <f>IF(M29&lt;0.30,"⚠️ Marge basse",IF(IFERROR((L29-B13)/B13,0)&lt;0.05,"🚫 Cannibalisme",IF(M29&lt;0.35,"🟡 Limite",IF(M29&lt;=0.42,"🎯 Optimal","🔵 Premium"))))</f>
        <v/>
      </c>
    </row>
    <row r="30">
      <c r="A30" s="202" t="n">
        <v>2</v>
      </c>
      <c r="B30" s="203" t="n">
        <v>31.9</v>
      </c>
      <c r="C30" s="204">
        <f>IFERROR((B30*(1-$D$5)-$F$5)/(B30*(1-$D$5)),0)</f>
        <v/>
      </c>
      <c r="D30" s="205">
        <f>IF(C30&lt;0.30,"⚠️ Marge basse",IF(C30&lt;0.35,"🟡 Limite",IF(C30&lt;=0.42,"🎯 Optimal","🔵 Premium")))</f>
        <v/>
      </c>
      <c r="F30" s="202" t="n">
        <v>2</v>
      </c>
      <c r="G30" s="203">
        <f>CEILING(I25-3+0.1,1)-0.1</f>
        <v/>
      </c>
      <c r="H30" s="204">
        <f>IFERROR((G30*(1-$D$5)-$H$5)/(G30*(1-$D$5)),0)</f>
        <v/>
      </c>
      <c r="I30" s="205">
        <f>IF(H30&lt;0.30,"⚠️ Marge basse",IF(IFERROR((G30-B13)/B13,0)&lt;0.1,"🚫 Cannibalisme",IF(H30&lt;0.35,"🟡 Limite",IF(H30&lt;=0.42,"🎯 Optimal","🔵 Premium"))))</f>
        <v/>
      </c>
      <c r="K30" s="202" t="n">
        <v>2</v>
      </c>
      <c r="L30" s="203">
        <f>CEILING(N25-3+0.1,1)-0.1</f>
        <v/>
      </c>
      <c r="M30" s="204">
        <f>IFERROR((L30*(1-$D$5)-$J$5)/(L30*(1-$D$5)),0)</f>
        <v/>
      </c>
      <c r="N30" s="205">
        <f>IF(M30&lt;0.30,"⚠️ Marge basse",IF(IFERROR((L30-B13)/B13,0)&lt;0.05,"🚫 Cannibalisme",IF(M30&lt;0.35,"🟡 Limite",IF(M30&lt;=0.42,"🎯 Optimal","🔵 Premium"))))</f>
        <v/>
      </c>
    </row>
    <row r="31">
      <c r="A31" s="198" t="n">
        <v>3</v>
      </c>
      <c r="B31" s="199" t="n">
        <v>33.9</v>
      </c>
      <c r="C31" s="200">
        <f>IFERROR((B31*(1-$D$5)-$F$5)/(B31*(1-$D$5)),0)</f>
        <v/>
      </c>
      <c r="D31" s="201">
        <f>IF(C31&lt;0.30,"⚠️ Marge basse",IF(C31&lt;0.35,"🟡 Limite",IF(C31&lt;=0.42,"🎯 Optimal","🔵 Premium")))</f>
        <v/>
      </c>
      <c r="F31" s="198" t="n">
        <v>3</v>
      </c>
      <c r="G31" s="199">
        <f>CEILING(I25-2+0.1,1)-0.1</f>
        <v/>
      </c>
      <c r="H31" s="200">
        <f>IFERROR((G31*(1-$D$5)-$H$5)/(G31*(1-$D$5)),0)</f>
        <v/>
      </c>
      <c r="I31" s="201">
        <f>IF(H31&lt;0.30,"⚠️ Marge basse",IF(IFERROR((G31-B13)/B13,0)&lt;0.1,"🚫 Cannibalisme",IF(H31&lt;0.35,"🟡 Limite",IF(H31&lt;=0.42,"🎯 Optimal","🔵 Premium"))))</f>
        <v/>
      </c>
      <c r="K31" s="198" t="n">
        <v>3</v>
      </c>
      <c r="L31" s="199">
        <f>CEILING(N25-2+0.1,1)-0.1</f>
        <v/>
      </c>
      <c r="M31" s="200">
        <f>IFERROR((L31*(1-$D$5)-$J$5)/(L31*(1-$D$5)),0)</f>
        <v/>
      </c>
      <c r="N31" s="201">
        <f>IF(M31&lt;0.30,"⚠️ Marge basse",IF(IFERROR((L31-B13)/B13,0)&lt;0.05,"🚫 Cannibalisme",IF(M31&lt;0.35,"🟡 Limite",IF(M31&lt;=0.42,"🎯 Optimal","🔵 Premium"))))</f>
        <v/>
      </c>
    </row>
    <row r="32">
      <c r="A32" s="202" t="n">
        <v>4</v>
      </c>
      <c r="B32" s="203" t="n">
        <v>34.9</v>
      </c>
      <c r="C32" s="204">
        <f>IFERROR((B32*(1-$D$5)-$F$5)/(B32*(1-$D$5)),0)</f>
        <v/>
      </c>
      <c r="D32" s="205">
        <f>IF(C32&lt;0.30,"⚠️ Marge basse",IF(C32&lt;0.35,"🟡 Limite",IF(C32&lt;=0.42,"🎯 Optimal","🔵 Premium")))</f>
        <v/>
      </c>
      <c r="F32" s="202" t="n">
        <v>4</v>
      </c>
      <c r="G32" s="203">
        <f>CEILING(I25-1+0.1,1)-0.1</f>
        <v/>
      </c>
      <c r="H32" s="204">
        <f>IFERROR((G32*(1-$D$5)-$H$5)/(G32*(1-$D$5)),0)</f>
        <v/>
      </c>
      <c r="I32" s="205">
        <f>IF(H32&lt;0.30,"⚠️ Marge basse",IF(IFERROR((G32-B13)/B13,0)&lt;0.1,"🚫 Cannibalisme",IF(H32&lt;0.35,"🟡 Limite",IF(H32&lt;=0.42,"🎯 Optimal","🔵 Premium"))))</f>
        <v/>
      </c>
      <c r="K32" s="202" t="n">
        <v>4</v>
      </c>
      <c r="L32" s="203">
        <f>CEILING(N25-1+0.1,1)-0.1</f>
        <v/>
      </c>
      <c r="M32" s="204">
        <f>IFERROR((L32*(1-$D$5)-$J$5)/(L32*(1-$D$5)),0)</f>
        <v/>
      </c>
      <c r="N32" s="205">
        <f>IF(M32&lt;0.30,"⚠️ Marge basse",IF(IFERROR((L32-B13)/B13,0)&lt;0.05,"🚫 Cannibalisme",IF(M32&lt;0.35,"🟡 Limite",IF(M32&lt;=0.42,"🎯 Optimal","🔵 Premium"))))</f>
        <v/>
      </c>
    </row>
    <row r="33">
      <c r="A33" s="206" t="n">
        <v>5</v>
      </c>
      <c r="B33" s="207" t="n">
        <v>36.9</v>
      </c>
      <c r="C33" s="208">
        <f>IFERROR((B33*(1-$D$5)-$F$5)/(B33*(1-$D$5)),0)</f>
        <v/>
      </c>
      <c r="D33" s="209">
        <f>IF(C33&lt;0.30,"⚠️ Marge basse",IF(C33&lt;0.35,"🟡 Limite",IF(C33&lt;=0.42,"🎯 Optimal","🔵 Premium")))</f>
        <v/>
      </c>
      <c r="F33" s="206" t="n">
        <v>5</v>
      </c>
      <c r="G33" s="207">
        <f>CEILING(I25+0.1,1)-0.1</f>
        <v/>
      </c>
      <c r="H33" s="208">
        <f>IFERROR((G33*(1-$D$5)-$H$5)/(G33*(1-$D$5)),0)</f>
        <v/>
      </c>
      <c r="I33" s="209">
        <f>IF(H33&lt;0.30,"⚠️ Marge basse",IF(IFERROR((G33-B13)/B13,0)&lt;0.1,"🚫 Cannibalisme",IF(H33&lt;0.35,"🟡 Limite",IF(H33&lt;=0.42,"🎯 Optimal","🔵 Premium"))))</f>
        <v/>
      </c>
      <c r="K33" s="206" t="n">
        <v>5</v>
      </c>
      <c r="L33" s="207">
        <f>CEILING(N25+0.1,1)-0.1</f>
        <v/>
      </c>
      <c r="M33" s="208">
        <f>IFERROR((L33*(1-$D$5)-$J$5)/(L33*(1-$D$5)),0)</f>
        <v/>
      </c>
      <c r="N33" s="209">
        <f>IF(M33&lt;0.30,"⚠️ Marge basse",IF(IFERROR((L33-B13)/B13,0)&lt;0.05,"🚫 Cannibalisme",IF(M33&lt;0.35,"🟡 Limite",IF(M33&lt;=0.42,"🎯 Optimal","🔵 Premium"))))</f>
        <v/>
      </c>
    </row>
    <row r="34">
      <c r="A34" s="202" t="n">
        <v>6</v>
      </c>
      <c r="B34" s="203" t="n">
        <v>37.9</v>
      </c>
      <c r="C34" s="204">
        <f>IFERROR((B34*(1-$D$5)-$F$5)/(B34*(1-$D$5)),0)</f>
        <v/>
      </c>
      <c r="D34" s="205">
        <f>IF(C34&lt;0.30,"⚠️ Marge basse",IF(C34&lt;0.35,"🟡 Limite",IF(C34&lt;=0.42,"🎯 Optimal","🔵 Premium")))</f>
        <v/>
      </c>
      <c r="F34" s="202" t="n">
        <v>6</v>
      </c>
      <c r="G34" s="203">
        <f>CEILING(I25+1+0.1,1)-0.1</f>
        <v/>
      </c>
      <c r="H34" s="204">
        <f>IFERROR((G34*(1-$D$5)-$H$5)/(G34*(1-$D$5)),0)</f>
        <v/>
      </c>
      <c r="I34" s="205">
        <f>IF(H34&lt;0.30,"⚠️ Marge basse",IF(IFERROR((G34-B13)/B13,0)&lt;0.1,"🚫 Cannibalisme",IF(H34&lt;0.35,"🟡 Limite",IF(H34&lt;=0.42,"🎯 Optimal","🔵 Premium"))))</f>
        <v/>
      </c>
      <c r="K34" s="202" t="n">
        <v>6</v>
      </c>
      <c r="L34" s="203">
        <f>CEILING(N25+1+0.1,1)-0.1</f>
        <v/>
      </c>
      <c r="M34" s="204">
        <f>IFERROR((L34*(1-$D$5)-$J$5)/(L34*(1-$D$5)),0)</f>
        <v/>
      </c>
      <c r="N34" s="205">
        <f>IF(M34&lt;0.30,"⚠️ Marge basse",IF(IFERROR((L34-B13)/B13,0)&lt;0.05,"🚫 Cannibalisme",IF(M34&lt;0.35,"🟡 Limite",IF(M34&lt;=0.42,"🎯 Optimal","🔵 Premium"))))</f>
        <v/>
      </c>
    </row>
    <row r="35">
      <c r="A35" s="198" t="n">
        <v>7</v>
      </c>
      <c r="B35" s="199" t="n">
        <v>39.9</v>
      </c>
      <c r="C35" s="200">
        <f>IFERROR((B35*(1-$D$5)-$F$5)/(B35*(1-$D$5)),0)</f>
        <v/>
      </c>
      <c r="D35" s="201">
        <f>IF(C35&lt;0.30,"⚠️ Marge basse",IF(C35&lt;0.35,"🟡 Limite",IF(C35&lt;=0.42,"🎯 Optimal","🔵 Premium")))</f>
        <v/>
      </c>
      <c r="F35" s="198" t="n">
        <v>7</v>
      </c>
      <c r="G35" s="199">
        <f>CEILING(I25+2+0.1,1)-0.1</f>
        <v/>
      </c>
      <c r="H35" s="200">
        <f>IFERROR((G35*(1-$D$5)-$H$5)/(G35*(1-$D$5)),0)</f>
        <v/>
      </c>
      <c r="I35" s="201">
        <f>IF(H35&lt;0.30,"⚠️ Marge basse",IF(IFERROR((G35-B13)/B13,0)&lt;0.1,"🚫 Cannibalisme",IF(H35&lt;0.35,"🟡 Limite",IF(H35&lt;=0.42,"🎯 Optimal","🔵 Premium"))))</f>
        <v/>
      </c>
      <c r="K35" s="198" t="n">
        <v>7</v>
      </c>
      <c r="L35" s="199">
        <f>CEILING(N25+2+0.1,1)-0.1</f>
        <v/>
      </c>
      <c r="M35" s="200">
        <f>IFERROR((L35*(1-$D$5)-$J$5)/(L35*(1-$D$5)),0)</f>
        <v/>
      </c>
      <c r="N35" s="201">
        <f>IF(M35&lt;0.30,"⚠️ Marge basse",IF(IFERROR((L35-B13)/B13,0)&lt;0.05,"🚫 Cannibalisme",IF(M35&lt;0.35,"🟡 Limite",IF(M35&lt;=0.42,"🎯 Optimal","🔵 Premium"))))</f>
        <v/>
      </c>
    </row>
    <row r="36">
      <c r="A36" s="202" t="n">
        <v>8</v>
      </c>
      <c r="B36" s="203" t="n">
        <v>41.9</v>
      </c>
      <c r="C36" s="204">
        <f>IFERROR((B36*(1-$D$5)-$F$5)/(B36*(1-$D$5)),0)</f>
        <v/>
      </c>
      <c r="D36" s="205">
        <f>IF(C36&lt;0.30,"⚠️ Marge basse",IF(C36&lt;0.35,"🟡 Limite",IF(C36&lt;=0.42,"🎯 Optimal","🔵 Premium")))</f>
        <v/>
      </c>
      <c r="F36" s="202" t="n">
        <v>8</v>
      </c>
      <c r="G36" s="203">
        <f>CEILING(I25+3+0.1,1)-0.1</f>
        <v/>
      </c>
      <c r="H36" s="204">
        <f>IFERROR((G36*(1-$D$5)-$H$5)/(G36*(1-$D$5)),0)</f>
        <v/>
      </c>
      <c r="I36" s="205">
        <f>IF(H36&lt;0.30,"⚠️ Marge basse",IF(IFERROR((G36-B13)/B13,0)&lt;0.1,"🚫 Cannibalisme",IF(H36&lt;0.35,"🟡 Limite",IF(H36&lt;=0.42,"🎯 Optimal","🔵 Premium"))))</f>
        <v/>
      </c>
      <c r="K36" s="202" t="n">
        <v>8</v>
      </c>
      <c r="L36" s="203">
        <f>CEILING(N25+3+0.1,1)-0.1</f>
        <v/>
      </c>
      <c r="M36" s="204">
        <f>IFERROR((L36*(1-$D$5)-$J$5)/(L36*(1-$D$5)),0)</f>
        <v/>
      </c>
      <c r="N36" s="205">
        <f>IF(M36&lt;0.30,"⚠️ Marge basse",IF(IFERROR((L36-B13)/B13,0)&lt;0.05,"🚫 Cannibalisme",IF(M36&lt;0.35,"🟡 Limite",IF(M36&lt;=0.42,"🎯 Optimal","🔵 Premium"))))</f>
        <v/>
      </c>
    </row>
    <row r="37">
      <c r="A37" s="198" t="n">
        <v>9</v>
      </c>
      <c r="B37" s="199" t="n">
        <v>42.9</v>
      </c>
      <c r="C37" s="200">
        <f>IFERROR((B37*(1-$D$5)-$F$5)/(B37*(1-$D$5)),0)</f>
        <v/>
      </c>
      <c r="D37" s="201">
        <f>IF(C37&lt;0.30,"⚠️ Marge basse",IF(C37&lt;0.35,"🟡 Limite",IF(C37&lt;=0.42,"🎯 Optimal","🔵 Premium")))</f>
        <v/>
      </c>
      <c r="F37" s="198" t="n">
        <v>9</v>
      </c>
      <c r="G37" s="199">
        <f>CEILING(I25+5+0.1,1)-0.1</f>
        <v/>
      </c>
      <c r="H37" s="200">
        <f>IFERROR((G37*(1-$D$5)-$H$5)/(G37*(1-$D$5)),0)</f>
        <v/>
      </c>
      <c r="I37" s="201">
        <f>IF(H37&lt;0.30,"⚠️ Marge basse",IF(IFERROR((G37-B13)/B13,0)&lt;0.1,"🚫 Cannibalisme",IF(H37&lt;0.35,"🟡 Limite",IF(H37&lt;=0.42,"🎯 Optimal","🔵 Premium"))))</f>
        <v/>
      </c>
      <c r="K37" s="198" t="n">
        <v>9</v>
      </c>
      <c r="L37" s="199">
        <f>CEILING(N25+5+0.1,1)-0.1</f>
        <v/>
      </c>
      <c r="M37" s="200">
        <f>IFERROR((L37*(1-$D$5)-$J$5)/(L37*(1-$D$5)),0)</f>
        <v/>
      </c>
      <c r="N37" s="201">
        <f>IF(M37&lt;0.30,"⚠️ Marge basse",IF(IFERROR((L37-B13)/B13,0)&lt;0.05,"🚫 Cannibalisme",IF(M37&lt;0.35,"🟡 Limite",IF(M37&lt;=0.42,"🎯 Optimal","🔵 Premium"))))</f>
        <v/>
      </c>
    </row>
    <row r="38">
      <c r="A38" s="202" t="n">
        <v>10</v>
      </c>
      <c r="B38" s="203" t="n">
        <v>44.9</v>
      </c>
      <c r="C38" s="204">
        <f>IFERROR((B38*(1-$D$5)-$F$5)/(B38*(1-$D$5)),0)</f>
        <v/>
      </c>
      <c r="D38" s="205">
        <f>IF(C38&lt;0.30,"⚠️ Marge basse",IF(C38&lt;0.35,"🟡 Limite",IF(C38&lt;=0.42,"🎯 Optimal","🔵 Premium")))</f>
        <v/>
      </c>
      <c r="F38" s="202" t="n">
        <v>10</v>
      </c>
      <c r="G38" s="203">
        <f>CEILING(I25+7+0.1,1)-0.1</f>
        <v/>
      </c>
      <c r="H38" s="204">
        <f>IFERROR((G38*(1-$D$5)-$H$5)/(G38*(1-$D$5)),0)</f>
        <v/>
      </c>
      <c r="I38" s="205">
        <f>IF(H38&lt;0.30,"⚠️ Marge basse",IF(IFERROR((G38-B13)/B13,0)&lt;0.1,"🚫 Cannibalisme",IF(H38&lt;0.35,"🟡 Limite",IF(H38&lt;=0.42,"🎯 Optimal","🔵 Premium"))))</f>
        <v/>
      </c>
      <c r="K38" s="202" t="n">
        <v>10</v>
      </c>
      <c r="L38" s="203">
        <f>CEILING(N25+7+0.1,1)-0.1</f>
        <v/>
      </c>
      <c r="M38" s="204">
        <f>IFERROR((L38*(1-$D$5)-$J$5)/(L38*(1-$D$5)),0)</f>
        <v/>
      </c>
      <c r="N38" s="205">
        <f>IF(M38&lt;0.30,"⚠️ Marge basse",IF(IFERROR((L38-B13)/B13,0)&lt;0.05,"🚫 Cannibalisme",IF(M38&lt;0.35,"🟡 Limite",IF(M38&lt;=0.42,"🎯 Optimal","🔵 Premium"))))</f>
        <v/>
      </c>
    </row>
  </sheetData>
  <mergeCells count="36">
    <mergeCell ref="G10:I10"/>
    <mergeCell ref="B14:D14"/>
    <mergeCell ref="F9:I9"/>
    <mergeCell ref="G13:I13"/>
    <mergeCell ref="L14:N14"/>
    <mergeCell ref="K22:M22"/>
    <mergeCell ref="B13:D13"/>
    <mergeCell ref="K7:N7"/>
    <mergeCell ref="A1:N1"/>
    <mergeCell ref="B10:D10"/>
    <mergeCell ref="F23:H23"/>
    <mergeCell ref="A9:D9"/>
    <mergeCell ref="L10:N10"/>
    <mergeCell ref="G14:I14"/>
    <mergeCell ref="F22:H22"/>
    <mergeCell ref="K23:M23"/>
    <mergeCell ref="K16:N16"/>
    <mergeCell ref="F16:I16"/>
    <mergeCell ref="K9:N9"/>
    <mergeCell ref="F7:I7"/>
    <mergeCell ref="A2:N2"/>
    <mergeCell ref="F12:I12"/>
    <mergeCell ref="K20:N20"/>
    <mergeCell ref="A7:D7"/>
    <mergeCell ref="A16:D16"/>
    <mergeCell ref="F20:I20"/>
    <mergeCell ref="K25:M25"/>
    <mergeCell ref="F25:H25"/>
    <mergeCell ref="K24:M24"/>
    <mergeCell ref="A4:N4"/>
    <mergeCell ref="A12:D12"/>
    <mergeCell ref="L13:N13"/>
    <mergeCell ref="K12:N12"/>
    <mergeCell ref="K21:M21"/>
    <mergeCell ref="F21:H21"/>
    <mergeCell ref="F24:H24"/>
  </mergeCells>
  <dataValidations count="3">
    <dataValidation sqref="B10" showDropDown="0" showInputMessage="0" showErrorMessage="0" allowBlank="0" type="list">
      <formula1>"1,2,3,4,5,6,7,8,9,10"</formula1>
    </dataValidation>
    <dataValidation sqref="G10" showDropDown="0" showInputMessage="0" showErrorMessage="0" allowBlank="0" type="list">
      <formula1>"1,2,3,4,5,6,7,8,9,10"</formula1>
    </dataValidation>
    <dataValidation sqref="L10" showDropDown="0" showInputMessage="0" showErrorMessage="0" allowBlank="0" type="list">
      <formula1>"1,2,3,4,5,6,7,8,9,10"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pane ySplit="16" topLeftCell="A17" activePane="bottomLeft" state="frozen"/>
      <selection pane="bottomLeft" activeCell="A1" sqref="A1"/>
    </sheetView>
  </sheetViews>
  <sheetFormatPr baseColWidth="8" defaultRowHeight="15"/>
  <cols>
    <col width="22" customWidth="1" style="24" min="1" max="1"/>
    <col width="12" customWidth="1" style="24" min="2" max="2"/>
    <col width="12" customWidth="1" style="24" min="3" max="3"/>
    <col width="14" customWidth="1" style="24" min="4" max="4"/>
    <col width="11" customWidth="1" style="24" min="5" max="5"/>
    <col width="13" customWidth="1" style="24" min="6" max="6"/>
    <col width="16" customWidth="1" style="24" min="7" max="7"/>
    <col width="16" customWidth="1" style="24" min="8" max="8"/>
    <col width="22" customWidth="1" style="24" min="9" max="9"/>
  </cols>
  <sheetData>
    <row r="1" ht="34" customHeight="1" s="24">
      <c r="A1" s="176" t="inlineStr">
        <is>
          <t>PRICING DYNAMIQUE · DASHBOARD GAMME</t>
        </is>
      </c>
    </row>
    <row r="2">
      <c r="A2" s="177" t="inlineStr">
        <is>
          <t>Vue gamme en header · tables stackées en dessous</t>
        </is>
      </c>
    </row>
    <row r="4">
      <c r="A4" s="178" t="inlineStr">
        <is>
          <t>HYPOTHÈSES PARTAGÉES</t>
        </is>
      </c>
    </row>
    <row r="5">
      <c r="A5" s="185" t="inlineStr">
        <is>
          <t>TVA (compléments alim.)</t>
        </is>
      </c>
      <c r="B5" s="180" t="n">
        <v>0.055</v>
      </c>
    </row>
    <row r="6">
      <c r="A6" s="185" t="inlineStr">
        <is>
          <t>Remise client moyenne</t>
        </is>
      </c>
      <c r="B6" s="180" t="n">
        <v>0.18</v>
      </c>
    </row>
    <row r="7">
      <c r="A7" s="185" t="inlineStr">
        <is>
          <t>PR Concentrate (€ HT)</t>
        </is>
      </c>
      <c r="B7" s="181" t="n">
        <v>21</v>
      </c>
    </row>
    <row r="8">
      <c r="A8" s="185" t="inlineStr">
        <is>
          <t>PR Isolate (€ HT)</t>
        </is>
      </c>
      <c r="B8" s="181" t="n">
        <v>25</v>
      </c>
    </row>
    <row r="9">
      <c r="A9" s="185" t="inlineStr">
        <is>
          <t>PR Recovery (€ HT)</t>
        </is>
      </c>
      <c r="B9" s="181" t="n">
        <v>12.15</v>
      </c>
    </row>
    <row r="11" ht="28" customHeight="1" s="24">
      <c r="A11" s="210" t="inlineStr">
        <is>
          <t>▌ DASHBOARD GAMME</t>
        </is>
      </c>
    </row>
    <row r="12">
      <c r="A12" t="inlineStr"/>
      <c r="B12" s="211" t="inlineStr">
        <is>
          <t>CONCENTRATE</t>
        </is>
      </c>
      <c r="D12" s="212" t="inlineStr">
        <is>
          <t>ISOLATE</t>
        </is>
      </c>
      <c r="F12" s="213" t="inlineStr">
        <is>
          <t>RECOVERY</t>
        </is>
      </c>
      <c r="H12" s="214" t="inlineStr">
        <is>
          <t>ÉCART GAMME</t>
        </is>
      </c>
    </row>
    <row r="13" ht="36" customHeight="1" s="24">
      <c r="A13" s="185" t="inlineStr">
        <is>
          <t>Prix retenu</t>
        </is>
      </c>
      <c r="B13" s="190">
        <f>$D$34</f>
        <v/>
      </c>
      <c r="C13" s="188" t="n"/>
      <c r="D13" s="190">
        <f>$D$55</f>
        <v/>
      </c>
      <c r="E13" s="188" t="n"/>
      <c r="F13" s="190">
        <f>$D$76</f>
        <v/>
      </c>
      <c r="G13" s="188" t="n"/>
      <c r="H13" s="215">
        <f>IFERROR(($D$55-$D$34)/$D$34,0)</f>
        <v/>
      </c>
    </row>
    <row r="14">
      <c r="A14" s="185" t="inlineStr">
        <is>
          <t>Marge nette</t>
        </is>
      </c>
      <c r="B14" s="216">
        <f>IFERROR(($D$34*(1-$B$6)-$B$7)/($D$34*(1-$B$6)),0)</f>
        <v/>
      </c>
      <c r="D14" s="216">
        <f>IFERROR(($D$55*(1-$B$6)-$B$8)/($D$55*(1-$B$6)),0)</f>
        <v/>
      </c>
      <c r="F14" s="216">
        <f>IFERROR(($D$76*(1-$B$6)-$B$9)/($D$76*(1-$B$6)),0)</f>
        <v/>
      </c>
      <c r="H14" s="217">
        <f>IFERROR(($D$76-$D$34)/$D$34,0)</f>
        <v/>
      </c>
    </row>
    <row r="15">
      <c r="A15" s="185" t="inlineStr">
        <is>
          <t>Recommandation</t>
        </is>
      </c>
      <c r="B15" s="218">
        <f>IF(IFERROR(($D$34*(1-$B$6)-$B$7)/($D$34*(1-$B$6)),0)&lt;0.30,"⚠️ Marge basse",IF(IFERROR(($D$34*(1-$B$6)-$B$7)/($D$34*(1-$B$6)),0)&lt;0.35,"🟡 Limite",IF(IFERROR(($D$34*(1-$B$6)-$B$7)/($D$34*(1-$B$6)),0)&lt;=0.42,"🎯 Optimal","🔵 Premium")))</f>
        <v/>
      </c>
      <c r="D15" s="218">
        <f>IF(IFERROR(($D$55*(1-$B$6)-$B$8)/($D$55*(1-$B$6)),0)&lt;0.30,"⚠️ Marge basse",IF(IFERROR(($D$55*(1-$B$6)-$B$8)/($D$55*(1-$B$6)),0)&lt;0.35,"🟡 Limite",IF(IFERROR(($D$55*(1-$B$6)-$B$8)/($D$55*(1-$B$6)),0)&lt;=0.42,"🎯 Optimal","🔵 Premium")))</f>
        <v/>
      </c>
      <c r="F15" s="218">
        <f>IF(IFERROR(($D$76*(1-$B$6)-$B$9)/($D$76*(1-$B$6)),0)&lt;0.30,"⚠️ Marge basse",IF(IFERROR(($D$76*(1-$B$6)-$B$9)/($D$76*(1-$B$6)),0)&lt;0.35,"🟡 Limite",IF(IFERROR(($D$76*(1-$B$6)-$B$9)/($D$76*(1-$B$6)),0)&lt;=0.42,"🎯 Optimal","🔵 Premium")))</f>
        <v/>
      </c>
    </row>
    <row r="16" ht="12" customHeight="1" s="24"/>
    <row r="18" ht="26" customHeight="1" s="24">
      <c r="A18" s="182" t="inlineStr">
        <is>
          <t>▌ TABLEAU 1 — CONCENTRATE</t>
        </is>
      </c>
    </row>
    <row r="20">
      <c r="A20" s="219" t="inlineStr">
        <is>
          <t>Benchmark</t>
        </is>
      </c>
      <c r="B20" s="220" t="inlineStr">
        <is>
          <t>Moy</t>
        </is>
      </c>
      <c r="C20" s="221">
        <f>AVERAGE('Synthèse prix'!H14,'Synthèse prix'!H15,'Synthèse prix'!H19,'Synthèse prix'!H20,'Synthèse prix'!H24,'Synthèse prix'!H25,'Synthèse prix'!H26,'Synthèse prix'!H31,'Synthèse prix'!H37,'Synthèse prix'!H50)</f>
        <v/>
      </c>
      <c r="D20" s="220" t="inlineStr">
        <is>
          <t>Méd</t>
        </is>
      </c>
      <c r="E20" s="221">
        <f>MEDIAN('Synthèse prix'!H14,'Synthèse prix'!H15,'Synthèse prix'!H19,'Synthèse prix'!H20,'Synthèse prix'!H24,'Synthèse prix'!H25,'Synthèse prix'!H26,'Synthèse prix'!H31,'Synthèse prix'!H37,'Synthèse prix'!H50)</f>
        <v/>
      </c>
      <c r="F20" s="220" t="inlineStr">
        <is>
          <t>Min</t>
        </is>
      </c>
      <c r="G20" s="221">
        <f>MIN('Synthèse prix'!H14,'Synthèse prix'!H15,'Synthèse prix'!H19,'Synthèse prix'!H20,'Synthèse prix'!H24,'Synthèse prix'!H25,'Synthèse prix'!H26,'Synthèse prix'!H31,'Synthèse prix'!H37,'Synthèse prix'!H50)</f>
        <v/>
      </c>
      <c r="H20" s="220" t="inlineStr">
        <is>
          <t>Max</t>
        </is>
      </c>
      <c r="I20" s="221">
        <f>MAX('Synthèse prix'!H14,'Synthèse prix'!H15,'Synthèse prix'!H19,'Synthèse prix'!H20,'Synthèse prix'!H24,'Synthèse prix'!H25,'Synthèse prix'!H26,'Synthèse prix'!H31,'Synthèse prix'!H37,'Synthèse prix'!H50)</f>
        <v/>
      </c>
    </row>
    <row r="22" ht="20" customHeight="1" s="24">
      <c r="A22" s="222" t="inlineStr">
        <is>
          <t>#</t>
        </is>
      </c>
      <c r="B22" s="222" t="inlineStr">
        <is>
          <t>PP TTC</t>
        </is>
      </c>
      <c r="C22" s="222" t="inlineStr">
        <is>
          <t>PP HT</t>
        </is>
      </c>
      <c r="D22" s="222" t="inlineStr">
        <is>
          <t>PVM net</t>
        </is>
      </c>
      <c r="E22" s="222" t="inlineStr">
        <is>
          <t>Marge €</t>
        </is>
      </c>
      <c r="F22" s="222" t="inlineStr">
        <is>
          <t>% Marge</t>
        </is>
      </c>
      <c r="G22" s="222" t="inlineStr">
        <is>
          <t>vs Médiane</t>
        </is>
      </c>
      <c r="H22" s="222" t="inlineStr">
        <is>
          <t>—</t>
        </is>
      </c>
      <c r="I22" s="222" t="inlineStr">
        <is>
          <t>Flag</t>
        </is>
      </c>
    </row>
    <row r="23">
      <c r="A23" s="198" t="n">
        <v>1</v>
      </c>
      <c r="B23" s="199" t="n">
        <v>29.9</v>
      </c>
      <c r="C23" s="199">
        <f>B23/(1+$B$5)</f>
        <v/>
      </c>
      <c r="D23" s="199">
        <f>B23*(1-$B$6)</f>
        <v/>
      </c>
      <c r="E23" s="199">
        <f>D23-$B$7</f>
        <v/>
      </c>
      <c r="F23" s="200">
        <f>IFERROR(E23/D23,0)</f>
        <v/>
      </c>
      <c r="G23" s="223">
        <f>IFERROR((B23-E20)/E20,0)</f>
        <v/>
      </c>
      <c r="H23" s="224" t="inlineStr">
        <is>
          <t>—</t>
        </is>
      </c>
      <c r="I23">
        <f>IF(F23&lt;0.30,"⚠️ Marge basse",IF(F23&lt;0.35,"🟡 Limite",IF(F23&lt;=0.42,"🎯 Optimal","🔵 Premium")))</f>
        <v/>
      </c>
    </row>
    <row r="24">
      <c r="A24" s="202" t="n">
        <v>2</v>
      </c>
      <c r="B24" s="203" t="n">
        <v>31.9</v>
      </c>
      <c r="C24" s="203">
        <f>B24/(1+$B$5)</f>
        <v/>
      </c>
      <c r="D24" s="203">
        <f>B24*(1-$B$6)</f>
        <v/>
      </c>
      <c r="E24" s="203">
        <f>D24-$B$7</f>
        <v/>
      </c>
      <c r="F24" s="204">
        <f>IFERROR(E24/D24,0)</f>
        <v/>
      </c>
      <c r="G24" s="225">
        <f>IFERROR((B24-E20)/E20,0)</f>
        <v/>
      </c>
      <c r="H24" s="226" t="inlineStr">
        <is>
          <t>—</t>
        </is>
      </c>
      <c r="I24" s="227">
        <f>IF(F24&lt;0.30,"⚠️ Marge basse",IF(F24&lt;0.35,"🟡 Limite",IF(F24&lt;=0.42,"🎯 Optimal","🔵 Premium")))</f>
        <v/>
      </c>
    </row>
    <row r="25">
      <c r="A25" s="198" t="n">
        <v>3</v>
      </c>
      <c r="B25" s="199" t="n">
        <v>33.9</v>
      </c>
      <c r="C25" s="199">
        <f>B25/(1+$B$5)</f>
        <v/>
      </c>
      <c r="D25" s="199">
        <f>B25*(1-$B$6)</f>
        <v/>
      </c>
      <c r="E25" s="199">
        <f>D25-$B$7</f>
        <v/>
      </c>
      <c r="F25" s="200">
        <f>IFERROR(E25/D25,0)</f>
        <v/>
      </c>
      <c r="G25" s="223">
        <f>IFERROR((B25-E20)/E20,0)</f>
        <v/>
      </c>
      <c r="H25" s="224" t="inlineStr">
        <is>
          <t>—</t>
        </is>
      </c>
      <c r="I25">
        <f>IF(F25&lt;0.30,"⚠️ Marge basse",IF(F25&lt;0.35,"🟡 Limite",IF(F25&lt;=0.42,"🎯 Optimal","🔵 Premium")))</f>
        <v/>
      </c>
    </row>
    <row r="26">
      <c r="A26" s="202" t="n">
        <v>4</v>
      </c>
      <c r="B26" s="203" t="n">
        <v>34.9</v>
      </c>
      <c r="C26" s="203">
        <f>B26/(1+$B$5)</f>
        <v/>
      </c>
      <c r="D26" s="203">
        <f>B26*(1-$B$6)</f>
        <v/>
      </c>
      <c r="E26" s="203">
        <f>D26-$B$7</f>
        <v/>
      </c>
      <c r="F26" s="204">
        <f>IFERROR(E26/D26,0)</f>
        <v/>
      </c>
      <c r="G26" s="225">
        <f>IFERROR((B26-E20)/E20,0)</f>
        <v/>
      </c>
      <c r="H26" s="226" t="inlineStr">
        <is>
          <t>—</t>
        </is>
      </c>
      <c r="I26" s="227">
        <f>IF(F26&lt;0.30,"⚠️ Marge basse",IF(F26&lt;0.35,"🟡 Limite",IF(F26&lt;=0.42,"🎯 Optimal","🔵 Premium")))</f>
        <v/>
      </c>
    </row>
    <row r="27">
      <c r="A27" s="198" t="n">
        <v>5</v>
      </c>
      <c r="B27" s="199" t="n">
        <v>36.9</v>
      </c>
      <c r="C27" s="199">
        <f>B27/(1+$B$5)</f>
        <v/>
      </c>
      <c r="D27" s="199">
        <f>B27*(1-$B$6)</f>
        <v/>
      </c>
      <c r="E27" s="199">
        <f>D27-$B$7</f>
        <v/>
      </c>
      <c r="F27" s="200">
        <f>IFERROR(E27/D27,0)</f>
        <v/>
      </c>
      <c r="G27" s="223">
        <f>IFERROR((B27-E20)/E20,0)</f>
        <v/>
      </c>
      <c r="H27" s="224" t="inlineStr">
        <is>
          <t>—</t>
        </is>
      </c>
      <c r="I27">
        <f>IF(F27&lt;0.30,"⚠️ Marge basse",IF(F27&lt;0.35,"🟡 Limite",IF(F27&lt;=0.42,"🎯 Optimal","🔵 Premium")))</f>
        <v/>
      </c>
    </row>
    <row r="28">
      <c r="A28" s="202" t="n">
        <v>6</v>
      </c>
      <c r="B28" s="203" t="n">
        <v>37.9</v>
      </c>
      <c r="C28" s="203">
        <f>B28/(1+$B$5)</f>
        <v/>
      </c>
      <c r="D28" s="203">
        <f>B28*(1-$B$6)</f>
        <v/>
      </c>
      <c r="E28" s="203">
        <f>D28-$B$7</f>
        <v/>
      </c>
      <c r="F28" s="204">
        <f>IFERROR(E28/D28,0)</f>
        <v/>
      </c>
      <c r="G28" s="225">
        <f>IFERROR((B28-E20)/E20,0)</f>
        <v/>
      </c>
      <c r="H28" s="226" t="inlineStr">
        <is>
          <t>—</t>
        </is>
      </c>
      <c r="I28" s="227">
        <f>IF(F28&lt;0.30,"⚠️ Marge basse",IF(F28&lt;0.35,"🟡 Limite",IF(F28&lt;=0.42,"🎯 Optimal","🔵 Premium")))</f>
        <v/>
      </c>
    </row>
    <row r="29">
      <c r="A29" s="198" t="n">
        <v>7</v>
      </c>
      <c r="B29" s="199" t="n">
        <v>39.9</v>
      </c>
      <c r="C29" s="199">
        <f>B29/(1+$B$5)</f>
        <v/>
      </c>
      <c r="D29" s="199">
        <f>B29*(1-$B$6)</f>
        <v/>
      </c>
      <c r="E29" s="199">
        <f>D29-$B$7</f>
        <v/>
      </c>
      <c r="F29" s="200">
        <f>IFERROR(E29/D29,0)</f>
        <v/>
      </c>
      <c r="G29" s="223">
        <f>IFERROR((B29-E20)/E20,0)</f>
        <v/>
      </c>
      <c r="H29" s="224" t="inlineStr">
        <is>
          <t>—</t>
        </is>
      </c>
      <c r="I29">
        <f>IF(F29&lt;0.30,"⚠️ Marge basse",IF(F29&lt;0.35,"🟡 Limite",IF(F29&lt;=0.42,"🎯 Optimal","🔵 Premium")))</f>
        <v/>
      </c>
    </row>
    <row r="30">
      <c r="A30" s="202" t="n">
        <v>8</v>
      </c>
      <c r="B30" s="203" t="n">
        <v>41.9</v>
      </c>
      <c r="C30" s="203">
        <f>B30/(1+$B$5)</f>
        <v/>
      </c>
      <c r="D30" s="203">
        <f>B30*(1-$B$6)</f>
        <v/>
      </c>
      <c r="E30" s="203">
        <f>D30-$B$7</f>
        <v/>
      </c>
      <c r="F30" s="204">
        <f>IFERROR(E30/D30,0)</f>
        <v/>
      </c>
      <c r="G30" s="225">
        <f>IFERROR((B30-E20)/E20,0)</f>
        <v/>
      </c>
      <c r="H30" s="226" t="inlineStr">
        <is>
          <t>—</t>
        </is>
      </c>
      <c r="I30" s="227">
        <f>IF(F30&lt;0.30,"⚠️ Marge basse",IF(F30&lt;0.35,"🟡 Limite",IF(F30&lt;=0.42,"🎯 Optimal","🔵 Premium")))</f>
        <v/>
      </c>
    </row>
    <row r="31">
      <c r="A31" s="198" t="n">
        <v>9</v>
      </c>
      <c r="B31" s="199" t="n">
        <v>42.9</v>
      </c>
      <c r="C31" s="199">
        <f>B31/(1+$B$5)</f>
        <v/>
      </c>
      <c r="D31" s="199">
        <f>B31*(1-$B$6)</f>
        <v/>
      </c>
      <c r="E31" s="199">
        <f>D31-$B$7</f>
        <v/>
      </c>
      <c r="F31" s="200">
        <f>IFERROR(E31/D31,0)</f>
        <v/>
      </c>
      <c r="G31" s="223">
        <f>IFERROR((B31-E20)/E20,0)</f>
        <v/>
      </c>
      <c r="H31" s="224" t="inlineStr">
        <is>
          <t>—</t>
        </is>
      </c>
      <c r="I31">
        <f>IF(F31&lt;0.30,"⚠️ Marge basse",IF(F31&lt;0.35,"🟡 Limite",IF(F31&lt;=0.42,"🎯 Optimal","🔵 Premium")))</f>
        <v/>
      </c>
    </row>
    <row r="32">
      <c r="A32" s="202" t="n">
        <v>10</v>
      </c>
      <c r="B32" s="203" t="n">
        <v>44.9</v>
      </c>
      <c r="C32" s="203">
        <f>B32/(1+$B$5)</f>
        <v/>
      </c>
      <c r="D32" s="203">
        <f>B32*(1-$B$6)</f>
        <v/>
      </c>
      <c r="E32" s="203">
        <f>D32-$B$7</f>
        <v/>
      </c>
      <c r="F32" s="204">
        <f>IFERROR(E32/D32,0)</f>
        <v/>
      </c>
      <c r="G32" s="225">
        <f>IFERROR((B32-E20)/E20,0)</f>
        <v/>
      </c>
      <c r="H32" s="226" t="inlineStr">
        <is>
          <t>—</t>
        </is>
      </c>
      <c r="I32" s="227">
        <f>IF(F32&lt;0.30,"⚠️ Marge basse",IF(F32&lt;0.35,"🟡 Limite",IF(F32&lt;=0.42,"🎯 Optimal","🔵 Premium")))</f>
        <v/>
      </c>
    </row>
    <row r="34" ht="26" customHeight="1" s="24">
      <c r="A34" s="228" t="inlineStr">
        <is>
          <t>🎯 Option sélectionnée</t>
        </is>
      </c>
      <c r="B34" s="186" t="n">
        <v>5</v>
      </c>
      <c r="C34" s="228" t="inlineStr">
        <is>
          <t>→ Prix retenu</t>
        </is>
      </c>
      <c r="D34" s="229">
        <f>INDEX($B$23:$B$32,$B34)</f>
        <v/>
      </c>
      <c r="E34" s="228" t="inlineStr">
        <is>
          <t>Marge</t>
        </is>
      </c>
      <c r="F34" s="230">
        <f>INDEX($F$23:$F$32,$B34)</f>
        <v/>
      </c>
    </row>
    <row r="36" ht="26" customHeight="1" s="24">
      <c r="A36" s="183" t="inlineStr">
        <is>
          <t>▌ TABLEAU 2 — ISOLATE (cascade auto)</t>
        </is>
      </c>
    </row>
    <row r="38">
      <c r="A38" s="231" t="inlineStr">
        <is>
          <t>Plancher 38%</t>
        </is>
      </c>
      <c r="C38" s="231" t="inlineStr">
        <is>
          <t>Cible 40%</t>
        </is>
      </c>
      <c r="E38" s="231" t="inlineStr">
        <is>
          <t>Anti-cannib</t>
        </is>
      </c>
      <c r="G38" s="231" t="inlineStr">
        <is>
          <t>Marché méd.</t>
        </is>
      </c>
      <c r="I38" s="232" t="inlineStr">
        <is>
          <t>→ PP OPT</t>
        </is>
      </c>
    </row>
    <row r="39">
      <c r="B39" s="193">
        <f>CEILING($B$8/(1-0.38)/(1-$B$6)+0.1,1)-0.1</f>
        <v/>
      </c>
      <c r="D39" s="193">
        <f>CEILING($B$8/(1-0.40)/(1-$B$6)+0.1,1)-0.1</f>
        <v/>
      </c>
      <c r="F39" s="193">
        <f>CEILING($D$34*1.10+0.1,1)-0.1</f>
        <v/>
      </c>
      <c r="H39" s="193">
        <f>MEDIAN('Synthèse prix'!H7,'Synthèse prix'!H10,'Synthèse prix'!H11,'Synthèse prix'!H18,'Synthèse prix'!H21,'Synthèse prix'!H22,'Synthèse prix'!H23,'Synthèse prix'!H29,'Synthèse prix'!H30,'Synthèse prix'!H35,'Synthèse prix'!H41,'Synthèse prix'!H47)</f>
        <v/>
      </c>
      <c r="I39" s="196">
        <f>MAX(B39,F39,MIN(D39,H39))</f>
        <v/>
      </c>
    </row>
    <row r="41">
      <c r="A41" s="219" t="inlineStr">
        <is>
          <t>Benchmark</t>
        </is>
      </c>
      <c r="B41" s="220" t="inlineStr">
        <is>
          <t>Moy</t>
        </is>
      </c>
      <c r="C41" s="221">
        <f>AVERAGE('Synthèse prix'!H7,'Synthèse prix'!H10,'Synthèse prix'!H11,'Synthèse prix'!H18,'Synthèse prix'!H21,'Synthèse prix'!H22,'Synthèse prix'!H23,'Synthèse prix'!H29,'Synthèse prix'!H30,'Synthèse prix'!H35,'Synthèse prix'!H41,'Synthèse prix'!H47)</f>
        <v/>
      </c>
      <c r="D41" s="220" t="inlineStr">
        <is>
          <t>Méd</t>
        </is>
      </c>
      <c r="E41" s="221">
        <f>MEDIAN('Synthèse prix'!H7,'Synthèse prix'!H10,'Synthèse prix'!H11,'Synthèse prix'!H18,'Synthèse prix'!H21,'Synthèse prix'!H22,'Synthèse prix'!H23,'Synthèse prix'!H29,'Synthèse prix'!H30,'Synthèse prix'!H35,'Synthèse prix'!H41,'Synthèse prix'!H47)</f>
        <v/>
      </c>
      <c r="F41" s="220" t="inlineStr">
        <is>
          <t>Min</t>
        </is>
      </c>
      <c r="G41" s="221">
        <f>MIN('Synthèse prix'!H7,'Synthèse prix'!H10,'Synthèse prix'!H11,'Synthèse prix'!H18,'Synthèse prix'!H21,'Synthèse prix'!H22,'Synthèse prix'!H23,'Synthèse prix'!H29,'Synthèse prix'!H30,'Synthèse prix'!H35,'Synthèse prix'!H41,'Synthèse prix'!H47)</f>
        <v/>
      </c>
      <c r="H41" s="220" t="inlineStr">
        <is>
          <t>Max</t>
        </is>
      </c>
      <c r="I41" s="221">
        <f>MAX('Synthèse prix'!H7,'Synthèse prix'!H10,'Synthèse prix'!H11,'Synthèse prix'!H18,'Synthèse prix'!H21,'Synthèse prix'!H22,'Synthèse prix'!H23,'Synthèse prix'!H29,'Synthèse prix'!H30,'Synthèse prix'!H35,'Synthèse prix'!H41,'Synthèse prix'!H47)</f>
        <v/>
      </c>
    </row>
    <row r="43" ht="20" customHeight="1" s="24">
      <c r="A43" s="222" t="inlineStr">
        <is>
          <t>#</t>
        </is>
      </c>
      <c r="B43" s="222" t="inlineStr">
        <is>
          <t>PP TTC</t>
        </is>
      </c>
      <c r="C43" s="222" t="inlineStr">
        <is>
          <t>PP HT</t>
        </is>
      </c>
      <c r="D43" s="222" t="inlineStr">
        <is>
          <t>PVM net</t>
        </is>
      </c>
      <c r="E43" s="222" t="inlineStr">
        <is>
          <t>Marge €</t>
        </is>
      </c>
      <c r="F43" s="222" t="inlineStr">
        <is>
          <t>% Marge</t>
        </is>
      </c>
      <c r="G43" s="222" t="inlineStr">
        <is>
          <t>vs Médiane</t>
        </is>
      </c>
      <c r="H43" s="222" t="inlineStr">
        <is>
          <t>vs Concentrate</t>
        </is>
      </c>
      <c r="I43" s="222" t="inlineStr">
        <is>
          <t>Flag</t>
        </is>
      </c>
    </row>
    <row r="44">
      <c r="A44" s="198" t="n">
        <v>1</v>
      </c>
      <c r="B44" s="199">
        <f>CEILING(I39-4+0.1,1)-0.1</f>
        <v/>
      </c>
      <c r="C44" s="199">
        <f>B44/(1+$B$5)</f>
        <v/>
      </c>
      <c r="D44" s="199">
        <f>B44*(1-$B$6)</f>
        <v/>
      </c>
      <c r="E44" s="199">
        <f>D44-$B$8</f>
        <v/>
      </c>
      <c r="F44" s="200">
        <f>IFERROR(E44/D44,0)</f>
        <v/>
      </c>
      <c r="G44" s="223">
        <f>IFERROR((B44-E41)/E41,0)</f>
        <v/>
      </c>
      <c r="H44" s="223">
        <f>IFERROR((B44-$D$34)/$D$34,0)</f>
        <v/>
      </c>
      <c r="I44">
        <f>IF(F44&lt;0.30,"⚠️ Marge basse",IF(IFERROR((B44-$D$34)/$D$34,0)&lt;0.1,"🚫 Cannibalisme",IF(F44&lt;0.35,"🟡 Limite",IF(F44&lt;=0.42,"🎯 Optimal","🔵 Premium"))))</f>
        <v/>
      </c>
    </row>
    <row r="45">
      <c r="A45" s="202" t="n">
        <v>2</v>
      </c>
      <c r="B45" s="203">
        <f>CEILING(I39-3+0.1,1)-0.1</f>
        <v/>
      </c>
      <c r="C45" s="203">
        <f>B45/(1+$B$5)</f>
        <v/>
      </c>
      <c r="D45" s="203">
        <f>B45*(1-$B$6)</f>
        <v/>
      </c>
      <c r="E45" s="203">
        <f>D45-$B$8</f>
        <v/>
      </c>
      <c r="F45" s="204">
        <f>IFERROR(E45/D45,0)</f>
        <v/>
      </c>
      <c r="G45" s="225">
        <f>IFERROR((B45-E41)/E41,0)</f>
        <v/>
      </c>
      <c r="H45" s="225">
        <f>IFERROR((B45-$D$34)/$D$34,0)</f>
        <v/>
      </c>
      <c r="I45" s="227">
        <f>IF(F45&lt;0.30,"⚠️ Marge basse",IF(IFERROR((B45-$D$34)/$D$34,0)&lt;0.1,"🚫 Cannibalisme",IF(F45&lt;0.35,"🟡 Limite",IF(F45&lt;=0.42,"🎯 Optimal","🔵 Premium"))))</f>
        <v/>
      </c>
    </row>
    <row r="46">
      <c r="A46" s="198" t="n">
        <v>3</v>
      </c>
      <c r="B46" s="199">
        <f>CEILING(I39-2+0.1,1)-0.1</f>
        <v/>
      </c>
      <c r="C46" s="199">
        <f>B46/(1+$B$5)</f>
        <v/>
      </c>
      <c r="D46" s="199">
        <f>B46*(1-$B$6)</f>
        <v/>
      </c>
      <c r="E46" s="199">
        <f>D46-$B$8</f>
        <v/>
      </c>
      <c r="F46" s="200">
        <f>IFERROR(E46/D46,0)</f>
        <v/>
      </c>
      <c r="G46" s="223">
        <f>IFERROR((B46-E41)/E41,0)</f>
        <v/>
      </c>
      <c r="H46" s="223">
        <f>IFERROR((B46-$D$34)/$D$34,0)</f>
        <v/>
      </c>
      <c r="I46">
        <f>IF(F46&lt;0.30,"⚠️ Marge basse",IF(IFERROR((B46-$D$34)/$D$34,0)&lt;0.1,"🚫 Cannibalisme",IF(F46&lt;0.35,"🟡 Limite",IF(F46&lt;=0.42,"🎯 Optimal","🔵 Premium"))))</f>
        <v/>
      </c>
    </row>
    <row r="47">
      <c r="A47" s="202" t="n">
        <v>4</v>
      </c>
      <c r="B47" s="203">
        <f>CEILING(I39-1+0.1,1)-0.1</f>
        <v/>
      </c>
      <c r="C47" s="203">
        <f>B47/(1+$B$5)</f>
        <v/>
      </c>
      <c r="D47" s="203">
        <f>B47*(1-$B$6)</f>
        <v/>
      </c>
      <c r="E47" s="203">
        <f>D47-$B$8</f>
        <v/>
      </c>
      <c r="F47" s="204">
        <f>IFERROR(E47/D47,0)</f>
        <v/>
      </c>
      <c r="G47" s="225">
        <f>IFERROR((B47-E41)/E41,0)</f>
        <v/>
      </c>
      <c r="H47" s="225">
        <f>IFERROR((B47-$D$34)/$D$34,0)</f>
        <v/>
      </c>
      <c r="I47" s="227">
        <f>IF(F47&lt;0.30,"⚠️ Marge basse",IF(IFERROR((B47-$D$34)/$D$34,0)&lt;0.1,"🚫 Cannibalisme",IF(F47&lt;0.35,"🟡 Limite",IF(F47&lt;=0.42,"🎯 Optimal","🔵 Premium"))))</f>
        <v/>
      </c>
    </row>
    <row r="48">
      <c r="A48" s="198" t="n">
        <v>5</v>
      </c>
      <c r="B48" s="199">
        <f>CEILING(I39+0.1,1)-0.1</f>
        <v/>
      </c>
      <c r="C48" s="199">
        <f>B48/(1+$B$5)</f>
        <v/>
      </c>
      <c r="D48" s="199">
        <f>B48*(1-$B$6)</f>
        <v/>
      </c>
      <c r="E48" s="199">
        <f>D48-$B$8</f>
        <v/>
      </c>
      <c r="F48" s="200">
        <f>IFERROR(E48/D48,0)</f>
        <v/>
      </c>
      <c r="G48" s="223">
        <f>IFERROR((B48-E41)/E41,0)</f>
        <v/>
      </c>
      <c r="H48" s="223">
        <f>IFERROR((B48-$D$34)/$D$34,0)</f>
        <v/>
      </c>
      <c r="I48">
        <f>IF(F48&lt;0.30,"⚠️ Marge basse",IF(IFERROR((B48-$D$34)/$D$34,0)&lt;0.1,"🚫 Cannibalisme",IF(F48&lt;0.35,"🟡 Limite",IF(F48&lt;=0.42,"🎯 Optimal","🔵 Premium"))))</f>
        <v/>
      </c>
    </row>
    <row r="49">
      <c r="A49" s="202" t="n">
        <v>6</v>
      </c>
      <c r="B49" s="203">
        <f>CEILING(I39+1+0.1,1)-0.1</f>
        <v/>
      </c>
      <c r="C49" s="203">
        <f>B49/(1+$B$5)</f>
        <v/>
      </c>
      <c r="D49" s="203">
        <f>B49*(1-$B$6)</f>
        <v/>
      </c>
      <c r="E49" s="203">
        <f>D49-$B$8</f>
        <v/>
      </c>
      <c r="F49" s="204">
        <f>IFERROR(E49/D49,0)</f>
        <v/>
      </c>
      <c r="G49" s="225">
        <f>IFERROR((B49-E41)/E41,0)</f>
        <v/>
      </c>
      <c r="H49" s="225">
        <f>IFERROR((B49-$D$34)/$D$34,0)</f>
        <v/>
      </c>
      <c r="I49" s="227">
        <f>IF(F49&lt;0.30,"⚠️ Marge basse",IF(IFERROR((B49-$D$34)/$D$34,0)&lt;0.1,"🚫 Cannibalisme",IF(F49&lt;0.35,"🟡 Limite",IF(F49&lt;=0.42,"🎯 Optimal","🔵 Premium"))))</f>
        <v/>
      </c>
    </row>
    <row r="50">
      <c r="A50" s="198" t="n">
        <v>7</v>
      </c>
      <c r="B50" s="199">
        <f>CEILING(I39+2+0.1,1)-0.1</f>
        <v/>
      </c>
      <c r="C50" s="199">
        <f>B50/(1+$B$5)</f>
        <v/>
      </c>
      <c r="D50" s="199">
        <f>B50*(1-$B$6)</f>
        <v/>
      </c>
      <c r="E50" s="199">
        <f>D50-$B$8</f>
        <v/>
      </c>
      <c r="F50" s="200">
        <f>IFERROR(E50/D50,0)</f>
        <v/>
      </c>
      <c r="G50" s="223">
        <f>IFERROR((B50-E41)/E41,0)</f>
        <v/>
      </c>
      <c r="H50" s="223">
        <f>IFERROR((B50-$D$34)/$D$34,0)</f>
        <v/>
      </c>
      <c r="I50">
        <f>IF(F50&lt;0.30,"⚠️ Marge basse",IF(IFERROR((B50-$D$34)/$D$34,0)&lt;0.1,"🚫 Cannibalisme",IF(F50&lt;0.35,"🟡 Limite",IF(F50&lt;=0.42,"🎯 Optimal","🔵 Premium"))))</f>
        <v/>
      </c>
    </row>
    <row r="51">
      <c r="A51" s="202" t="n">
        <v>8</v>
      </c>
      <c r="B51" s="203">
        <f>CEILING(I39+3+0.1,1)-0.1</f>
        <v/>
      </c>
      <c r="C51" s="203">
        <f>B51/(1+$B$5)</f>
        <v/>
      </c>
      <c r="D51" s="203">
        <f>B51*(1-$B$6)</f>
        <v/>
      </c>
      <c r="E51" s="203">
        <f>D51-$B$8</f>
        <v/>
      </c>
      <c r="F51" s="204">
        <f>IFERROR(E51/D51,0)</f>
        <v/>
      </c>
      <c r="G51" s="225">
        <f>IFERROR((B51-E41)/E41,0)</f>
        <v/>
      </c>
      <c r="H51" s="225">
        <f>IFERROR((B51-$D$34)/$D$34,0)</f>
        <v/>
      </c>
      <c r="I51" s="227">
        <f>IF(F51&lt;0.30,"⚠️ Marge basse",IF(IFERROR((B51-$D$34)/$D$34,0)&lt;0.1,"🚫 Cannibalisme",IF(F51&lt;0.35,"🟡 Limite",IF(F51&lt;=0.42,"🎯 Optimal","🔵 Premium"))))</f>
        <v/>
      </c>
    </row>
    <row r="52">
      <c r="A52" s="198" t="n">
        <v>9</v>
      </c>
      <c r="B52" s="199">
        <f>CEILING(I39+5+0.1,1)-0.1</f>
        <v/>
      </c>
      <c r="C52" s="199">
        <f>B52/(1+$B$5)</f>
        <v/>
      </c>
      <c r="D52" s="199">
        <f>B52*(1-$B$6)</f>
        <v/>
      </c>
      <c r="E52" s="199">
        <f>D52-$B$8</f>
        <v/>
      </c>
      <c r="F52" s="200">
        <f>IFERROR(E52/D52,0)</f>
        <v/>
      </c>
      <c r="G52" s="223">
        <f>IFERROR((B52-E41)/E41,0)</f>
        <v/>
      </c>
      <c r="H52" s="223">
        <f>IFERROR((B52-$D$34)/$D$34,0)</f>
        <v/>
      </c>
      <c r="I52">
        <f>IF(F52&lt;0.30,"⚠️ Marge basse",IF(IFERROR((B52-$D$34)/$D$34,0)&lt;0.1,"🚫 Cannibalisme",IF(F52&lt;0.35,"🟡 Limite",IF(F52&lt;=0.42,"🎯 Optimal","🔵 Premium"))))</f>
        <v/>
      </c>
    </row>
    <row r="53">
      <c r="A53" s="202" t="n">
        <v>10</v>
      </c>
      <c r="B53" s="203">
        <f>CEILING(I39+7+0.1,1)-0.1</f>
        <v/>
      </c>
      <c r="C53" s="203">
        <f>B53/(1+$B$5)</f>
        <v/>
      </c>
      <c r="D53" s="203">
        <f>B53*(1-$B$6)</f>
        <v/>
      </c>
      <c r="E53" s="203">
        <f>D53-$B$8</f>
        <v/>
      </c>
      <c r="F53" s="204">
        <f>IFERROR(E53/D53,0)</f>
        <v/>
      </c>
      <c r="G53" s="225">
        <f>IFERROR((B53-E41)/E41,0)</f>
        <v/>
      </c>
      <c r="H53" s="225">
        <f>IFERROR((B53-$D$34)/$D$34,0)</f>
        <v/>
      </c>
      <c r="I53" s="227">
        <f>IF(F53&lt;0.30,"⚠️ Marge basse",IF(IFERROR((B53-$D$34)/$D$34,0)&lt;0.1,"🚫 Cannibalisme",IF(F53&lt;0.35,"🟡 Limite",IF(F53&lt;=0.42,"🎯 Optimal","🔵 Premium"))))</f>
        <v/>
      </c>
    </row>
    <row r="55" ht="26" customHeight="1" s="24">
      <c r="A55" s="228" t="inlineStr">
        <is>
          <t>🎯 Option sélectionnée</t>
        </is>
      </c>
      <c r="B55" s="186" t="n">
        <v>5</v>
      </c>
      <c r="C55" s="228" t="inlineStr">
        <is>
          <t>→ Prix retenu</t>
        </is>
      </c>
      <c r="D55" s="229">
        <f>INDEX($B$44:$B$53,$B55)</f>
        <v/>
      </c>
      <c r="E55" s="228" t="inlineStr">
        <is>
          <t>Marge</t>
        </is>
      </c>
      <c r="F55" s="230">
        <f>INDEX($F$44:$F$53,$B55)</f>
        <v/>
      </c>
    </row>
    <row r="57" ht="26" customHeight="1" s="24">
      <c r="A57" s="184" t="inlineStr">
        <is>
          <t>▌ TABLEAU 3 — RECOVERY (cascade auto)</t>
        </is>
      </c>
    </row>
    <row r="59">
      <c r="A59" s="231" t="inlineStr">
        <is>
          <t>Plancher 38%</t>
        </is>
      </c>
      <c r="C59" s="231" t="inlineStr">
        <is>
          <t>Plancher C+5%</t>
        </is>
      </c>
      <c r="E59" s="231" t="inlineStr">
        <is>
          <t>Plafond I−5%</t>
        </is>
      </c>
      <c r="G59" s="231" t="inlineStr">
        <is>
          <t>Marché réf</t>
        </is>
      </c>
      <c r="I59" s="232" t="inlineStr">
        <is>
          <t>→ PP OPT</t>
        </is>
      </c>
    </row>
    <row r="60">
      <c r="B60" s="193">
        <f>CEILING($B$9/(1-0.38)/(1-$B$6)+0.1,1)-0.1</f>
        <v/>
      </c>
      <c r="D60" s="193">
        <f>CEILING($D$34*1.05+0.1,1)-0.1</f>
        <v/>
      </c>
      <c r="F60" s="193">
        <f>CEILING($D$55*0.95+0.1,1)-0.1</f>
        <v/>
      </c>
      <c r="H60" s="193">
        <f>'Synthèse prix'!H5</f>
        <v/>
      </c>
      <c r="I60" s="196">
        <f>MAX(B60,D60,MIN(F60,H60))</f>
        <v/>
      </c>
    </row>
    <row r="62">
      <c r="A62" s="219" t="inlineStr">
        <is>
          <t>Benchmark</t>
        </is>
      </c>
      <c r="B62" s="220" t="inlineStr">
        <is>
          <t>Moy</t>
        </is>
      </c>
      <c r="C62" s="221">
        <f>AVERAGE('Synthèse prix'!H5,'Synthèse prix'!H6,'Synthèse prix'!H32)</f>
        <v/>
      </c>
      <c r="D62" s="220" t="inlineStr">
        <is>
          <t>Méd</t>
        </is>
      </c>
      <c r="E62" s="221">
        <f>MEDIAN('Synthèse prix'!H5,'Synthèse prix'!H6,'Synthèse prix'!H32)</f>
        <v/>
      </c>
      <c r="F62" s="220" t="inlineStr">
        <is>
          <t>Min</t>
        </is>
      </c>
      <c r="G62" s="221">
        <f>MIN('Synthèse prix'!H5,'Synthèse prix'!H6,'Synthèse prix'!H32)</f>
        <v/>
      </c>
      <c r="H62" s="220" t="inlineStr">
        <is>
          <t>Max</t>
        </is>
      </c>
      <c r="I62" s="221">
        <f>MAX('Synthèse prix'!H5,'Synthèse prix'!H6,'Synthèse prix'!H32)</f>
        <v/>
      </c>
    </row>
    <row r="64" ht="20" customHeight="1" s="24">
      <c r="A64" s="222" t="inlineStr">
        <is>
          <t>#</t>
        </is>
      </c>
      <c r="B64" s="222" t="inlineStr">
        <is>
          <t>PP TTC</t>
        </is>
      </c>
      <c r="C64" s="222" t="inlineStr">
        <is>
          <t>PP HT</t>
        </is>
      </c>
      <c r="D64" s="222" t="inlineStr">
        <is>
          <t>PVM net</t>
        </is>
      </c>
      <c r="E64" s="222" t="inlineStr">
        <is>
          <t>Marge €</t>
        </is>
      </c>
      <c r="F64" s="222" t="inlineStr">
        <is>
          <t>% Marge</t>
        </is>
      </c>
      <c r="G64" s="222" t="inlineStr">
        <is>
          <t>vs Médiane</t>
        </is>
      </c>
      <c r="H64" s="222" t="inlineStr">
        <is>
          <t>vs Concentrate</t>
        </is>
      </c>
      <c r="I64" s="222" t="inlineStr">
        <is>
          <t>Flag</t>
        </is>
      </c>
    </row>
    <row r="65">
      <c r="A65" s="198" t="n">
        <v>1</v>
      </c>
      <c r="B65" s="199">
        <f>CEILING(I60-4+0.1,1)-0.1</f>
        <v/>
      </c>
      <c r="C65" s="199">
        <f>B65/(1+$B$5)</f>
        <v/>
      </c>
      <c r="D65" s="199">
        <f>B65*(1-$B$6)</f>
        <v/>
      </c>
      <c r="E65" s="199">
        <f>D65-$B$9</f>
        <v/>
      </c>
      <c r="F65" s="200">
        <f>IFERROR(E65/D65,0)</f>
        <v/>
      </c>
      <c r="G65" s="223">
        <f>IFERROR((B65-E62)/E62,0)</f>
        <v/>
      </c>
      <c r="H65" s="223">
        <f>IFERROR((B65-$D$34)/$D$34,0)</f>
        <v/>
      </c>
      <c r="I65">
        <f>IF(F65&lt;0.30,"⚠️ Marge basse",IF(IFERROR((B65-$D$34)/$D$34,0)&lt;0.05,"🚫 Cannibalisme",IF(F65&lt;0.35,"🟡 Limite",IF(F65&lt;=0.42,"🎯 Optimal","🔵 Premium"))))</f>
        <v/>
      </c>
    </row>
    <row r="66">
      <c r="A66" s="202" t="n">
        <v>2</v>
      </c>
      <c r="B66" s="203">
        <f>CEILING(I60-3+0.1,1)-0.1</f>
        <v/>
      </c>
      <c r="C66" s="203">
        <f>B66/(1+$B$5)</f>
        <v/>
      </c>
      <c r="D66" s="203">
        <f>B66*(1-$B$6)</f>
        <v/>
      </c>
      <c r="E66" s="203">
        <f>D66-$B$9</f>
        <v/>
      </c>
      <c r="F66" s="204">
        <f>IFERROR(E66/D66,0)</f>
        <v/>
      </c>
      <c r="G66" s="225">
        <f>IFERROR((B66-E62)/E62,0)</f>
        <v/>
      </c>
      <c r="H66" s="225">
        <f>IFERROR((B66-$D$34)/$D$34,0)</f>
        <v/>
      </c>
      <c r="I66" s="227">
        <f>IF(F66&lt;0.30,"⚠️ Marge basse",IF(IFERROR((B66-$D$34)/$D$34,0)&lt;0.05,"🚫 Cannibalisme",IF(F66&lt;0.35,"🟡 Limite",IF(F66&lt;=0.42,"🎯 Optimal","🔵 Premium"))))</f>
        <v/>
      </c>
    </row>
    <row r="67">
      <c r="A67" s="198" t="n">
        <v>3</v>
      </c>
      <c r="B67" s="199">
        <f>CEILING(I60-2+0.1,1)-0.1</f>
        <v/>
      </c>
      <c r="C67" s="199">
        <f>B67/(1+$B$5)</f>
        <v/>
      </c>
      <c r="D67" s="199">
        <f>B67*(1-$B$6)</f>
        <v/>
      </c>
      <c r="E67" s="199">
        <f>D67-$B$9</f>
        <v/>
      </c>
      <c r="F67" s="200">
        <f>IFERROR(E67/D67,0)</f>
        <v/>
      </c>
      <c r="G67" s="223">
        <f>IFERROR((B67-E62)/E62,0)</f>
        <v/>
      </c>
      <c r="H67" s="223">
        <f>IFERROR((B67-$D$34)/$D$34,0)</f>
        <v/>
      </c>
      <c r="I67">
        <f>IF(F67&lt;0.30,"⚠️ Marge basse",IF(IFERROR((B67-$D$34)/$D$34,0)&lt;0.05,"🚫 Cannibalisme",IF(F67&lt;0.35,"🟡 Limite",IF(F67&lt;=0.42,"🎯 Optimal","🔵 Premium"))))</f>
        <v/>
      </c>
    </row>
    <row r="68">
      <c r="A68" s="202" t="n">
        <v>4</v>
      </c>
      <c r="B68" s="203">
        <f>CEILING(I60-1+0.1,1)-0.1</f>
        <v/>
      </c>
      <c r="C68" s="203">
        <f>B68/(1+$B$5)</f>
        <v/>
      </c>
      <c r="D68" s="203">
        <f>B68*(1-$B$6)</f>
        <v/>
      </c>
      <c r="E68" s="203">
        <f>D68-$B$9</f>
        <v/>
      </c>
      <c r="F68" s="204">
        <f>IFERROR(E68/D68,0)</f>
        <v/>
      </c>
      <c r="G68" s="225">
        <f>IFERROR((B68-E62)/E62,0)</f>
        <v/>
      </c>
      <c r="H68" s="225">
        <f>IFERROR((B68-$D$34)/$D$34,0)</f>
        <v/>
      </c>
      <c r="I68" s="227">
        <f>IF(F68&lt;0.30,"⚠️ Marge basse",IF(IFERROR((B68-$D$34)/$D$34,0)&lt;0.05,"🚫 Cannibalisme",IF(F68&lt;0.35,"🟡 Limite",IF(F68&lt;=0.42,"🎯 Optimal","🔵 Premium"))))</f>
        <v/>
      </c>
    </row>
    <row r="69">
      <c r="A69" s="198" t="n">
        <v>5</v>
      </c>
      <c r="B69" s="199">
        <f>CEILING(I60+0.1,1)-0.1</f>
        <v/>
      </c>
      <c r="C69" s="199">
        <f>B69/(1+$B$5)</f>
        <v/>
      </c>
      <c r="D69" s="199">
        <f>B69*(1-$B$6)</f>
        <v/>
      </c>
      <c r="E69" s="199">
        <f>D69-$B$9</f>
        <v/>
      </c>
      <c r="F69" s="200">
        <f>IFERROR(E69/D69,0)</f>
        <v/>
      </c>
      <c r="G69" s="223">
        <f>IFERROR((B69-E62)/E62,0)</f>
        <v/>
      </c>
      <c r="H69" s="223">
        <f>IFERROR((B69-$D$34)/$D$34,0)</f>
        <v/>
      </c>
      <c r="I69">
        <f>IF(F69&lt;0.30,"⚠️ Marge basse",IF(IFERROR((B69-$D$34)/$D$34,0)&lt;0.05,"🚫 Cannibalisme",IF(F69&lt;0.35,"🟡 Limite",IF(F69&lt;=0.42,"🎯 Optimal","🔵 Premium"))))</f>
        <v/>
      </c>
    </row>
    <row r="70">
      <c r="A70" s="202" t="n">
        <v>6</v>
      </c>
      <c r="B70" s="203">
        <f>CEILING(I60+1+0.1,1)-0.1</f>
        <v/>
      </c>
      <c r="C70" s="203">
        <f>B70/(1+$B$5)</f>
        <v/>
      </c>
      <c r="D70" s="203">
        <f>B70*(1-$B$6)</f>
        <v/>
      </c>
      <c r="E70" s="203">
        <f>D70-$B$9</f>
        <v/>
      </c>
      <c r="F70" s="204">
        <f>IFERROR(E70/D70,0)</f>
        <v/>
      </c>
      <c r="G70" s="225">
        <f>IFERROR((B70-E62)/E62,0)</f>
        <v/>
      </c>
      <c r="H70" s="225">
        <f>IFERROR((B70-$D$34)/$D$34,0)</f>
        <v/>
      </c>
      <c r="I70" s="227">
        <f>IF(F70&lt;0.30,"⚠️ Marge basse",IF(IFERROR((B70-$D$34)/$D$34,0)&lt;0.05,"🚫 Cannibalisme",IF(F70&lt;0.35,"🟡 Limite",IF(F70&lt;=0.42,"🎯 Optimal","🔵 Premium"))))</f>
        <v/>
      </c>
    </row>
    <row r="71">
      <c r="A71" s="198" t="n">
        <v>7</v>
      </c>
      <c r="B71" s="199">
        <f>CEILING(I60+2+0.1,1)-0.1</f>
        <v/>
      </c>
      <c r="C71" s="199">
        <f>B71/(1+$B$5)</f>
        <v/>
      </c>
      <c r="D71" s="199">
        <f>B71*(1-$B$6)</f>
        <v/>
      </c>
      <c r="E71" s="199">
        <f>D71-$B$9</f>
        <v/>
      </c>
      <c r="F71" s="200">
        <f>IFERROR(E71/D71,0)</f>
        <v/>
      </c>
      <c r="G71" s="223">
        <f>IFERROR((B71-E62)/E62,0)</f>
        <v/>
      </c>
      <c r="H71" s="223">
        <f>IFERROR((B71-$D$34)/$D$34,0)</f>
        <v/>
      </c>
      <c r="I71">
        <f>IF(F71&lt;0.30,"⚠️ Marge basse",IF(IFERROR((B71-$D$34)/$D$34,0)&lt;0.05,"🚫 Cannibalisme",IF(F71&lt;0.35,"🟡 Limite",IF(F71&lt;=0.42,"🎯 Optimal","🔵 Premium"))))</f>
        <v/>
      </c>
    </row>
    <row r="72">
      <c r="A72" s="202" t="n">
        <v>8</v>
      </c>
      <c r="B72" s="203">
        <f>CEILING(I60+3+0.1,1)-0.1</f>
        <v/>
      </c>
      <c r="C72" s="203">
        <f>B72/(1+$B$5)</f>
        <v/>
      </c>
      <c r="D72" s="203">
        <f>B72*(1-$B$6)</f>
        <v/>
      </c>
      <c r="E72" s="203">
        <f>D72-$B$9</f>
        <v/>
      </c>
      <c r="F72" s="204">
        <f>IFERROR(E72/D72,0)</f>
        <v/>
      </c>
      <c r="G72" s="225">
        <f>IFERROR((B72-E62)/E62,0)</f>
        <v/>
      </c>
      <c r="H72" s="225">
        <f>IFERROR((B72-$D$34)/$D$34,0)</f>
        <v/>
      </c>
      <c r="I72" s="227">
        <f>IF(F72&lt;0.30,"⚠️ Marge basse",IF(IFERROR((B72-$D$34)/$D$34,0)&lt;0.05,"🚫 Cannibalisme",IF(F72&lt;0.35,"🟡 Limite",IF(F72&lt;=0.42,"🎯 Optimal","🔵 Premium"))))</f>
        <v/>
      </c>
    </row>
    <row r="73">
      <c r="A73" s="198" t="n">
        <v>9</v>
      </c>
      <c r="B73" s="199">
        <f>CEILING(I60+5+0.1,1)-0.1</f>
        <v/>
      </c>
      <c r="C73" s="199">
        <f>B73/(1+$B$5)</f>
        <v/>
      </c>
      <c r="D73" s="199">
        <f>B73*(1-$B$6)</f>
        <v/>
      </c>
      <c r="E73" s="199">
        <f>D73-$B$9</f>
        <v/>
      </c>
      <c r="F73" s="200">
        <f>IFERROR(E73/D73,0)</f>
        <v/>
      </c>
      <c r="G73" s="223">
        <f>IFERROR((B73-E62)/E62,0)</f>
        <v/>
      </c>
      <c r="H73" s="223">
        <f>IFERROR((B73-$D$34)/$D$34,0)</f>
        <v/>
      </c>
      <c r="I73">
        <f>IF(F73&lt;0.30,"⚠️ Marge basse",IF(IFERROR((B73-$D$34)/$D$34,0)&lt;0.05,"🚫 Cannibalisme",IF(F73&lt;0.35,"🟡 Limite",IF(F73&lt;=0.42,"🎯 Optimal","🔵 Premium"))))</f>
        <v/>
      </c>
    </row>
    <row r="74">
      <c r="A74" s="202" t="n">
        <v>10</v>
      </c>
      <c r="B74" s="203">
        <f>CEILING(I60+7+0.1,1)-0.1</f>
        <v/>
      </c>
      <c r="C74" s="203">
        <f>B74/(1+$B$5)</f>
        <v/>
      </c>
      <c r="D74" s="203">
        <f>B74*(1-$B$6)</f>
        <v/>
      </c>
      <c r="E74" s="203">
        <f>D74-$B$9</f>
        <v/>
      </c>
      <c r="F74" s="204">
        <f>IFERROR(E74/D74,0)</f>
        <v/>
      </c>
      <c r="G74" s="225">
        <f>IFERROR((B74-E62)/E62,0)</f>
        <v/>
      </c>
      <c r="H74" s="225">
        <f>IFERROR((B74-$D$34)/$D$34,0)</f>
        <v/>
      </c>
      <c r="I74" s="227">
        <f>IF(F74&lt;0.30,"⚠️ Marge basse",IF(IFERROR((B74-$D$34)/$D$34,0)&lt;0.05,"🚫 Cannibalisme",IF(F74&lt;0.35,"🟡 Limite",IF(F74&lt;=0.42,"🎯 Optimal","🔵 Premium"))))</f>
        <v/>
      </c>
    </row>
    <row r="76" ht="26" customHeight="1" s="24">
      <c r="A76" s="228" t="inlineStr">
        <is>
          <t>🎯 Option sélectionnée</t>
        </is>
      </c>
      <c r="B76" s="186" t="n">
        <v>5</v>
      </c>
      <c r="C76" s="228" t="inlineStr">
        <is>
          <t>→ Prix retenu</t>
        </is>
      </c>
      <c r="D76" s="229">
        <f>INDEX($B$65:$B$74,$B76)</f>
        <v/>
      </c>
      <c r="E76" s="228" t="inlineStr">
        <is>
          <t>Marge</t>
        </is>
      </c>
      <c r="F76" s="230">
        <f>INDEX($F$65:$F$74,$B76)</f>
        <v/>
      </c>
    </row>
  </sheetData>
  <mergeCells count="22">
    <mergeCell ref="A18:I18"/>
    <mergeCell ref="B12:C12"/>
    <mergeCell ref="A57:I57"/>
    <mergeCell ref="F12:G12"/>
    <mergeCell ref="A2:I2"/>
    <mergeCell ref="F15:G15"/>
    <mergeCell ref="D13:E13"/>
    <mergeCell ref="B14:C14"/>
    <mergeCell ref="A4:I4"/>
    <mergeCell ref="B13:C13"/>
    <mergeCell ref="F13:G13"/>
    <mergeCell ref="H13:I13"/>
    <mergeCell ref="D12:E12"/>
    <mergeCell ref="H12:I12"/>
    <mergeCell ref="A11:I11"/>
    <mergeCell ref="B15:C15"/>
    <mergeCell ref="D15:E15"/>
    <mergeCell ref="A36:I36"/>
    <mergeCell ref="A1:I1"/>
    <mergeCell ref="D14:E14"/>
    <mergeCell ref="F14:G14"/>
    <mergeCell ref="H14:I14"/>
  </mergeCells>
  <dataValidations count="3">
    <dataValidation sqref="B34" showDropDown="0" showInputMessage="0" showErrorMessage="0" allowBlank="0" type="list">
      <formula1>"1,2,3,4,5,6,7,8,9,10"</formula1>
    </dataValidation>
    <dataValidation sqref="B55" showDropDown="0" showInputMessage="0" showErrorMessage="0" allowBlank="0" type="list">
      <formula1>"1,2,3,4,5,6,7,8,9,10"</formula1>
    </dataValidation>
    <dataValidation sqref="B76" showDropDown="0" showInputMessage="0" showErrorMessage="0" allowBlank="0" type="list">
      <formula1>"1,2,3,4,5,6,7,8,9,10"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48"/>
  <sheetViews>
    <sheetView workbookViewId="0">
      <pane xSplit="1" ySplit="2" topLeftCell="N3" activePane="bottomRight" state="frozen"/>
      <selection pane="topRight" activeCell="A1" sqref="A1"/>
      <selection pane="bottomLeft" activeCell="A1" sqref="A1"/>
      <selection pane="bottomRight" activeCell="S7" sqref="S7"/>
    </sheetView>
  </sheetViews>
  <sheetFormatPr baseColWidth="10" defaultColWidth="8.7265625" defaultRowHeight="14.5"/>
  <cols>
    <col width="36" customWidth="1" style="24" min="1" max="1"/>
    <col width="17.81640625" bestFit="1" customWidth="1" style="24" min="2" max="4"/>
    <col width="18" customWidth="1" style="24" min="5" max="6"/>
    <col width="21.54296875" bestFit="1" customWidth="1" style="24" min="7" max="7"/>
    <col width="20.54296875" bestFit="1" customWidth="1" style="24" min="8" max="9"/>
    <col width="22.6328125" bestFit="1" customWidth="1" style="24" min="10" max="10"/>
    <col width="18.26953125" bestFit="1" customWidth="1" style="24" min="11" max="11"/>
    <col width="24.08984375" bestFit="1" customWidth="1" style="24" min="12" max="12"/>
    <col width="21.6328125" bestFit="1" customWidth="1" style="24" min="13" max="13"/>
    <col width="26.26953125" bestFit="1" customWidth="1" style="24" min="14" max="14"/>
    <col width="21.90625" bestFit="1" customWidth="1" style="24" min="15" max="15"/>
    <col width="27.81640625" bestFit="1" customWidth="1" style="24" min="16" max="16"/>
    <col width="25.36328125" bestFit="1" customWidth="1" style="24" min="17" max="17"/>
    <col width="22.6328125" bestFit="1" customWidth="1" style="24" min="18" max="18"/>
    <col width="26.81640625" bestFit="1" customWidth="1" style="24" min="19" max="19"/>
    <col width="17.81640625" bestFit="1" customWidth="1" style="24" min="20" max="20"/>
    <col width="30.36328125" bestFit="1" customWidth="1" style="24" min="21" max="21"/>
    <col width="30.90625" bestFit="1" customWidth="1" style="24" min="22" max="22"/>
    <col width="29.26953125" bestFit="1" customWidth="1" style="24" min="23" max="23"/>
    <col width="24.81640625" bestFit="1" customWidth="1" style="24" min="24" max="24"/>
    <col width="25.453125" bestFit="1" customWidth="1" style="24" min="25" max="25"/>
    <col width="21.54296875" bestFit="1" customWidth="1" style="24" min="26" max="26"/>
    <col width="28.6328125" bestFit="1" customWidth="1" style="24" min="27" max="27"/>
    <col width="27.6328125" bestFit="1" customWidth="1" style="24" min="28" max="28"/>
    <col width="18" customWidth="1" style="24" min="29" max="29"/>
    <col width="23.7265625" bestFit="1" customWidth="1" style="24" min="30" max="30"/>
    <col width="21.54296875" bestFit="1" customWidth="1" style="24" min="31" max="31"/>
    <col width="31.453125" bestFit="1" customWidth="1" style="24" min="32" max="32"/>
    <col width="21.54296875" bestFit="1" customWidth="1" style="24" min="33" max="33"/>
    <col width="22.08984375" bestFit="1" customWidth="1" style="24" min="34" max="34"/>
    <col width="19.90625" bestFit="1" customWidth="1" style="24" min="35" max="35"/>
    <col width="21.54296875" bestFit="1" customWidth="1" style="24" min="36" max="36"/>
    <col width="20.54296875" bestFit="1" customWidth="1" style="24" min="37" max="37"/>
    <col width="22.08984375" bestFit="1" customWidth="1" style="24" min="38" max="38"/>
    <col width="20.54296875" bestFit="1" customWidth="1" style="24" min="39" max="39"/>
    <col width="21.36328125" bestFit="1" customWidth="1" style="24" min="40" max="40"/>
    <col width="21.81640625" bestFit="1" customWidth="1" style="24" min="41" max="41"/>
    <col width="23.26953125" bestFit="1" customWidth="1" style="24" min="42" max="42"/>
    <col width="22.36328125" bestFit="1" customWidth="1" style="24" min="43" max="43"/>
    <col width="23.81640625" bestFit="1" customWidth="1" style="24" min="44" max="44"/>
    <col width="34.08984375" bestFit="1" customWidth="1" style="24" min="45" max="45"/>
    <col width="21.36328125" bestFit="1" customWidth="1" style="24" min="46" max="46"/>
    <col width="17.81640625" bestFit="1" customWidth="1" style="24" min="47" max="47"/>
    <col width="18.36328125" bestFit="1" customWidth="1" style="24" min="48" max="48"/>
    <col width="19.453125" bestFit="1" customWidth="1" style="24" min="49" max="49"/>
    <col width="20.54296875" bestFit="1" customWidth="1" style="24" min="50" max="51"/>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BULK</t>
        </is>
      </c>
      <c r="AJ1" s="3" t="inlineStr">
        <is>
          <t>BULK</t>
        </is>
      </c>
      <c r="AK1" s="3" t="inlineStr">
        <is>
          <t>BULK</t>
        </is>
      </c>
      <c r="AL1" s="3" t="inlineStr">
        <is>
          <t>BULK</t>
        </is>
      </c>
      <c r="AM1" s="3" t="inlineStr">
        <is>
          <t>BULK</t>
        </is>
      </c>
      <c r="AN1" s="3" t="inlineStr">
        <is>
          <t>BULK</t>
        </is>
      </c>
      <c r="AO1" s="3" t="inlineStr">
        <is>
          <t>MYPROTEIN</t>
        </is>
      </c>
      <c r="AP1" s="3" t="inlineStr">
        <is>
          <t>MYPROTEIN</t>
        </is>
      </c>
      <c r="AQ1" s="3" t="inlineStr">
        <is>
          <t>MYPROTEIN</t>
        </is>
      </c>
      <c r="AR1" s="3" t="inlineStr">
        <is>
          <t>MYPROTEIN</t>
        </is>
      </c>
      <c r="AS1" s="3" t="inlineStr">
        <is>
          <t>MYPROTEIN</t>
        </is>
      </c>
      <c r="AT1" s="3" t="inlineStr">
        <is>
          <t>MYPROTEIN</t>
        </is>
      </c>
      <c r="AU1" s="3" t="inlineStr">
        <is>
          <t>BIOTECHUSA</t>
        </is>
      </c>
      <c r="AV1" s="3" t="inlineStr">
        <is>
          <t>BIOTECHUSA</t>
        </is>
      </c>
      <c r="AW1" s="3" t="inlineStr">
        <is>
          <t>BIOTECHUSA</t>
        </is>
      </c>
      <c r="AX1" s="3" t="inlineStr">
        <is>
          <t>BIOTECHUSA</t>
        </is>
      </c>
      <c r="AY1" s="3" t="inlineStr">
        <is>
          <t>BIOTECHUSA</t>
        </is>
      </c>
    </row>
    <row r="2" ht="36" customHeight="1" s="24">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Isolate 1kg
(1kg chocolat)</t>
        </is>
      </c>
      <c r="AJ2" s="6" t="inlineStr">
        <is>
          <t>Pure Whey Isolate 2,5kg
(2.5kg chocolat)</t>
        </is>
      </c>
      <c r="AK2" s="6" t="inlineStr">
        <is>
          <t>Pure Whey Protein 1kg
(1kg chocolat)</t>
        </is>
      </c>
      <c r="AL2" s="6" t="inlineStr">
        <is>
          <t>Pure Whey Protein 2,5kg
(2.5kg chocolat)</t>
        </is>
      </c>
      <c r="AM2" s="6" t="inlineStr">
        <is>
          <t>Pure Whey Protein 5kg
(5kg chocolat)</t>
        </is>
      </c>
      <c r="AN2" s="6" t="inlineStr">
        <is>
          <t>Clear Whey Isolate 500g
(500g fraise)</t>
        </is>
      </c>
      <c r="AO2" s="6" t="inlineStr">
        <is>
          <t>Impact Whey Isolate 1kg
(1kg chocolat)</t>
        </is>
      </c>
      <c r="AP2" s="6" t="inlineStr">
        <is>
          <t>Impact Whey Isolate 2,5kg
(2.5kg chocolat)</t>
        </is>
      </c>
      <c r="AQ2" s="6" t="inlineStr">
        <is>
          <t>Impact Whey Protein 1kg
(1kg chocolat)</t>
        </is>
      </c>
      <c r="AR2" s="6" t="inlineStr">
        <is>
          <t>Impact Whey Protein 2,5kg
(2.5kg chocolat)</t>
        </is>
      </c>
      <c r="AS2" s="6" t="inlineStr">
        <is>
          <t>Impact Whey Protein 5kg (Sans arôme)
(5kg sans arôme)</t>
        </is>
      </c>
      <c r="AT2" s="6" t="inlineStr">
        <is>
          <t>Clear Whey Isolate 875g
(875g fraise)</t>
        </is>
      </c>
      <c r="AU2" s="6" t="inlineStr">
        <is>
          <t>Iso Whey Zero 908g
(908g chocolat)</t>
        </is>
      </c>
      <c r="AV2" s="6" t="inlineStr">
        <is>
          <t>Iso Whey Zero 1816g
(1.816kg chocolat)</t>
        </is>
      </c>
      <c r="AW2" s="6" t="inlineStr">
        <is>
          <t>100% Pure Whey 400g
(400g chocolat)</t>
        </is>
      </c>
      <c r="AX2" s="6" t="inlineStr">
        <is>
          <t>100% Pure Whey 1000g
(1kg chocolat)</t>
        </is>
      </c>
      <c r="AY2" s="6" t="inlineStr">
        <is>
          <t>100% Pure Whey 2000g
(2kg chocolat)</t>
        </is>
      </c>
    </row>
    <row r="3" ht="15.5" customHeight="1" s="24">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row>
    <row r="4" ht="29" customHeight="1" s="2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isolat fromagere</t>
        </is>
      </c>
      <c r="AK4" s="10" t="inlineStr">
        <is>
          <t>concentrat fromagere</t>
        </is>
      </c>
      <c r="AL4" s="10" t="inlineStr">
        <is>
          <t>concentrat fromagere</t>
        </is>
      </c>
      <c r="AM4" s="10" t="inlineStr">
        <is>
          <t>concentrat fromagere</t>
        </is>
      </c>
      <c r="AN4" s="10" t="inlineStr">
        <is>
          <t>clear hydrolysat</t>
        </is>
      </c>
      <c r="AO4" s="10" t="inlineStr">
        <is>
          <t>isolat fromagere</t>
        </is>
      </c>
      <c r="AP4" s="10" t="inlineStr">
        <is>
          <t>isolat fromagere</t>
        </is>
      </c>
      <c r="AQ4" s="10" t="inlineStr">
        <is>
          <t>concentrat fromagere</t>
        </is>
      </c>
      <c r="AR4" s="10" t="inlineStr">
        <is>
          <t>concentrat fromagere</t>
        </is>
      </c>
      <c r="AS4" s="10" t="inlineStr">
        <is>
          <t>concentrat fromagere</t>
        </is>
      </c>
      <c r="AT4" s="10" t="inlineStr">
        <is>
          <t>clear hydrolysat</t>
        </is>
      </c>
      <c r="AU4" s="10" t="inlineStr">
        <is>
          <t>isolat fromagere</t>
        </is>
      </c>
      <c r="AV4" s="10" t="inlineStr">
        <is>
          <t>isolat fromagere</t>
        </is>
      </c>
      <c r="AW4" s="10" t="inlineStr">
        <is>
          <t>concentrat fromagere</t>
        </is>
      </c>
      <c r="AX4" s="10" t="inlineStr">
        <is>
          <t>concentrat fromagere</t>
        </is>
      </c>
      <c r="AY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1000</v>
      </c>
      <c r="AJ5" s="10" t="n">
        <v>2500</v>
      </c>
      <c r="AK5" s="10" t="n">
        <v>1000</v>
      </c>
      <c r="AL5" s="10" t="n">
        <v>2500</v>
      </c>
      <c r="AM5" s="10" t="n">
        <v>5000</v>
      </c>
      <c r="AN5" s="10" t="n">
        <v>500</v>
      </c>
      <c r="AO5" s="10" t="n">
        <v>1000</v>
      </c>
      <c r="AP5" s="10" t="n">
        <v>2500</v>
      </c>
      <c r="AQ5" s="10" t="n">
        <v>1000</v>
      </c>
      <c r="AR5" s="10" t="n">
        <v>2500</v>
      </c>
      <c r="AS5" s="10" t="n">
        <v>5000</v>
      </c>
      <c r="AT5" s="10" t="n">
        <v>875</v>
      </c>
      <c r="AU5" s="10" t="n">
        <v>908</v>
      </c>
      <c r="AV5" s="10" t="n">
        <v>1816</v>
      </c>
      <c r="AW5" s="10" t="n">
        <v>400</v>
      </c>
      <c r="AX5" s="10" t="n">
        <v>1000</v>
      </c>
      <c r="AY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fraise</t>
        </is>
      </c>
      <c r="AO6" s="10" t="inlineStr">
        <is>
          <t>chocolat</t>
        </is>
      </c>
      <c r="AP6" s="10" t="inlineStr">
        <is>
          <t>chocolat</t>
        </is>
      </c>
      <c r="AQ6" s="10" t="inlineStr">
        <is>
          <t>chocolat</t>
        </is>
      </c>
      <c r="AR6" s="10" t="inlineStr">
        <is>
          <t>chocolat</t>
        </is>
      </c>
      <c r="AS6" s="10" t="inlineStr">
        <is>
          <t>sans arôme</t>
        </is>
      </c>
      <c r="AT6" s="10" t="inlineStr">
        <is>
          <t>fraise</t>
        </is>
      </c>
      <c r="AU6" s="10" t="inlineStr">
        <is>
          <t>chocolat</t>
        </is>
      </c>
      <c r="AV6" s="10" t="inlineStr">
        <is>
          <t>chocolat</t>
        </is>
      </c>
      <c r="AW6" s="10" t="inlineStr">
        <is>
          <t>chocolat</t>
        </is>
      </c>
      <c r="AX6" s="10" t="inlineStr">
        <is>
          <t>chocolat</t>
        </is>
      </c>
      <c r="AY6" s="10" t="inlineStr">
        <is>
          <t>chocolat</t>
        </is>
      </c>
    </row>
    <row r="7" ht="87" customHeight="1" s="24">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Choco, Vanille, Fraise, Neutre</t>
        </is>
      </c>
      <c r="AJ7" s="10" t="inlineStr">
        <is>
          <t>Choco, Vanille, Fraise, Neutre</t>
        </is>
      </c>
      <c r="AK7" s="10" t="inlineStr">
        <is>
          <t>+20 saveurs (Choco, Vanille, Fraise, Neutre...)</t>
        </is>
      </c>
      <c r="AL7" s="10" t="inlineStr">
        <is>
          <t>+20 saveurs</t>
        </is>
      </c>
      <c r="AM7" s="10" t="inlineStr">
        <is>
          <t>+20 saveurs</t>
        </is>
      </c>
      <c r="AN7" s="10" t="inlineStr">
        <is>
          <t>Fraise, Pastèque, Pêche, Ananas...</t>
        </is>
      </c>
      <c r="AO7" s="10" t="inlineStr">
        <is>
          <t>+40 saveurs</t>
        </is>
      </c>
      <c r="AP7" s="10" t="inlineStr">
        <is>
          <t>+40 saveurs</t>
        </is>
      </c>
      <c r="AQ7" s="10" t="inlineStr">
        <is>
          <t>+40 saveurs (Choco Brownie, Vanille, Fraise, Neutre...)</t>
        </is>
      </c>
      <c r="AR7" s="10" t="inlineStr">
        <is>
          <t>+40 saveurs</t>
        </is>
      </c>
      <c r="AS7" s="10" t="inlineStr">
        <is>
          <t>sans arôme</t>
        </is>
      </c>
      <c r="AT7" s="10" t="inlineStr">
        <is>
          <t>Fraise, Pastèque, Limonade, Tropical...</t>
        </is>
      </c>
      <c r="AU7" s="10" t="inlineStr">
        <is>
          <t>chocolat, chocolat blanc, vanille, caramel catalan, banane, black biscuit</t>
        </is>
      </c>
      <c r="AV7" s="10" t="inlineStr">
        <is>
          <t>chocolat, chocolat blanc, vanille, caramel catalan, banane</t>
        </is>
      </c>
      <c r="AW7" s="10" t="inlineStr">
        <is>
          <t>chocolat, vanille bourbon, fraise, noisettes, beurre de cacahuète au chocolat, cookies &amp; cream</t>
        </is>
      </c>
      <c r="AX7" s="10" t="inlineStr">
        <is>
          <t>chocolat, vanille bourbon, fraise, noisettes, cookies &amp; cream</t>
        </is>
      </c>
      <c r="AY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t>
        </is>
      </c>
      <c r="AJ8" s="10" t="inlineStr">
        <is>
          <t>UE</t>
        </is>
      </c>
      <c r="AK8" s="10" t="inlineStr">
        <is>
          <t>UE</t>
        </is>
      </c>
      <c r="AL8" s="10" t="inlineStr">
        <is>
          <t>UE</t>
        </is>
      </c>
      <c r="AM8" s="10" t="inlineStr">
        <is>
          <t>UE</t>
        </is>
      </c>
      <c r="AN8" s="10" t="inlineStr">
        <is>
          <t>UE</t>
        </is>
      </c>
      <c r="AO8" s="10" t="inlineStr">
        <is>
          <t>UE</t>
        </is>
      </c>
      <c r="AP8" s="10" t="inlineStr">
        <is>
          <t>UE</t>
        </is>
      </c>
      <c r="AQ8" s="10" t="inlineStr">
        <is>
          <t>UE (UK, IE, NL...)</t>
        </is>
      </c>
      <c r="AR8" s="10" t="inlineStr">
        <is>
          <t>UE</t>
        </is>
      </c>
      <c r="AS8" s="10" t="inlineStr">
        <is>
          <t>UE</t>
        </is>
      </c>
      <c r="AT8" s="10" t="inlineStr">
        <is>
          <t>UE</t>
        </is>
      </c>
      <c r="AU8" s="10" t="n"/>
      <c r="AV8" s="10" t="n"/>
      <c r="AW8" s="10" t="n"/>
      <c r="AX8" s="10" t="n"/>
      <c r="AY8" s="10" t="n"/>
    </row>
    <row r="9" ht="29" customHeight="1" s="24">
      <c r="A9" s="4" t="inlineStr">
        <is>
          <t>Certifications</t>
        </is>
      </c>
      <c r="B9" s="9" t="n"/>
      <c r="C9" s="9" t="n"/>
      <c r="D9" s="9" t="n"/>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n"/>
      <c r="S9" s="10" t="n"/>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Informed Sport</t>
        </is>
      </c>
      <c r="AJ9" s="10" t="inlineStr">
        <is>
          <t>Informed Sport</t>
        </is>
      </c>
      <c r="AK9" s="10" t="inlineStr">
        <is>
          <t>Informed Sport</t>
        </is>
      </c>
      <c r="AL9" s="10" t="inlineStr">
        <is>
          <t>Informed Sport</t>
        </is>
      </c>
      <c r="AM9" s="10" t="inlineStr">
        <is>
          <t>Informed Sport</t>
        </is>
      </c>
      <c r="AN9" s="10" t="inlineStr">
        <is>
          <t>Informed Sport</t>
        </is>
      </c>
      <c r="AO9" s="10" t="inlineStr">
        <is>
          <t>Informed Choice</t>
        </is>
      </c>
      <c r="AP9" s="10" t="inlineStr">
        <is>
          <t>Informed Choice</t>
        </is>
      </c>
      <c r="AQ9" s="10" t="inlineStr">
        <is>
          <t>Informed Choice</t>
        </is>
      </c>
      <c r="AR9" s="10" t="inlineStr">
        <is>
          <t>Informed Choice</t>
        </is>
      </c>
      <c r="AS9" s="10" t="inlineStr">
        <is>
          <t>Informed Choice</t>
        </is>
      </c>
      <c r="AT9" s="10" t="inlineStr">
        <is>
          <t>Informed Choice</t>
        </is>
      </c>
      <c r="AU9" s="10" t="n"/>
      <c r="AV9" s="10" t="n"/>
      <c r="AW9" s="10" t="n"/>
      <c r="AX9" s="10" t="n"/>
      <c r="AY9" s="10" t="n"/>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row>
    <row r="11" ht="15.5" customHeight="1" s="24">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90</v>
      </c>
      <c r="AJ12" s="10" t="n">
        <v>90</v>
      </c>
      <c r="AK12" s="10" t="n">
        <v>82</v>
      </c>
      <c r="AL12" s="10" t="n">
        <v>82</v>
      </c>
      <c r="AM12" s="10" t="n">
        <v>82</v>
      </c>
      <c r="AN12" s="10" t="n">
        <v>72</v>
      </c>
      <c r="AO12" s="10" t="n">
        <v>90</v>
      </c>
      <c r="AP12" s="10" t="n">
        <v>90</v>
      </c>
      <c r="AQ12" s="10" t="n">
        <v>82</v>
      </c>
      <c r="AR12" s="10" t="n">
        <v>82</v>
      </c>
      <c r="AS12" s="10" t="n">
        <v>82</v>
      </c>
      <c r="AT12" s="10" t="n">
        <v>68</v>
      </c>
      <c r="AU12" s="10" t="n">
        <v>84</v>
      </c>
      <c r="AV12" s="10" t="n">
        <v>84</v>
      </c>
      <c r="AW12" s="10" t="n">
        <v>76</v>
      </c>
      <c r="AX12" s="10" t="n">
        <v>76</v>
      </c>
      <c r="AY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26</v>
      </c>
      <c r="AJ13" s="10" t="n">
        <v>26</v>
      </c>
      <c r="AK13" s="10" t="n">
        <v>22</v>
      </c>
      <c r="AL13" s="10" t="n">
        <v>22</v>
      </c>
      <c r="AM13" s="10" t="n">
        <v>22</v>
      </c>
      <c r="AN13" s="10" t="n">
        <v>20</v>
      </c>
      <c r="AO13" s="10" t="n">
        <v>25</v>
      </c>
      <c r="AP13" s="10" t="n">
        <v>25</v>
      </c>
      <c r="AQ13" s="10" t="n">
        <v>23</v>
      </c>
      <c r="AR13" s="10" t="n">
        <v>23</v>
      </c>
      <c r="AS13" s="10" t="n">
        <v>23</v>
      </c>
      <c r="AT13" s="10" t="n">
        <v>20</v>
      </c>
      <c r="AU13" s="10" t="n">
        <v>21</v>
      </c>
      <c r="AV13" s="10" t="n">
        <v>21</v>
      </c>
      <c r="AW13" s="10" t="n">
        <v>21</v>
      </c>
      <c r="AX13" s="10" t="n">
        <v>21</v>
      </c>
      <c r="AY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25</v>
      </c>
      <c r="AP14" s="10" t="n">
        <v>25</v>
      </c>
      <c r="AQ14" s="10" t="n">
        <v>25</v>
      </c>
      <c r="AR14" s="10" t="n">
        <v>25</v>
      </c>
      <c r="AS14" s="10" t="n">
        <v>25</v>
      </c>
      <c r="AT14" s="10" t="n">
        <v>25</v>
      </c>
      <c r="AU14" s="10" t="n">
        <v>25</v>
      </c>
      <c r="AV14" s="10" t="n">
        <v>25</v>
      </c>
      <c r="AW14" s="10" t="n">
        <v>30</v>
      </c>
      <c r="AX14" s="10" t="n">
        <v>30</v>
      </c>
      <c r="AY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33</v>
      </c>
      <c r="AJ15" s="10" t="n">
        <v>83</v>
      </c>
      <c r="AK15" s="10" t="n">
        <v>33</v>
      </c>
      <c r="AL15" s="10" t="n">
        <v>83</v>
      </c>
      <c r="AM15" s="10" t="n">
        <v>166</v>
      </c>
      <c r="AN15" s="10" t="n">
        <v>16</v>
      </c>
      <c r="AO15" s="10" t="n">
        <v>40</v>
      </c>
      <c r="AP15" s="10" t="n">
        <v>100</v>
      </c>
      <c r="AQ15" s="10" t="n">
        <v>40</v>
      </c>
      <c r="AR15" s="10" t="n">
        <v>100</v>
      </c>
      <c r="AS15" s="10" t="n">
        <v>200</v>
      </c>
      <c r="AT15" s="10" t="n">
        <v>35</v>
      </c>
      <c r="AU15" s="10" t="n">
        <v>36</v>
      </c>
      <c r="AV15" s="10" t="n">
        <v>72</v>
      </c>
      <c r="AW15" s="10" t="n">
        <v>13</v>
      </c>
      <c r="AX15" s="10" t="n">
        <v>33</v>
      </c>
      <c r="AY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5.5</v>
      </c>
      <c r="AJ16" s="10" t="n">
        <v>5.5</v>
      </c>
      <c r="AK16" s="10" t="n">
        <v>5</v>
      </c>
      <c r="AL16" s="10" t="n">
        <v>5</v>
      </c>
      <c r="AM16" s="10" t="n">
        <v>5</v>
      </c>
      <c r="AN16" s="10" t="n">
        <v>4</v>
      </c>
      <c r="AO16" s="10" t="n">
        <v>5.5</v>
      </c>
      <c r="AP16" s="10" t="n">
        <v>5.5</v>
      </c>
      <c r="AQ16" s="10" t="n">
        <v>4.5</v>
      </c>
      <c r="AR16" s="10" t="n">
        <v>4.5</v>
      </c>
      <c r="AS16" s="10" t="n">
        <v>4.5</v>
      </c>
      <c r="AT16" s="10" t="n">
        <v>4</v>
      </c>
      <c r="AU16" s="10" t="n">
        <v>4.35</v>
      </c>
      <c r="AV16" s="10" t="n">
        <v>4.35</v>
      </c>
      <c r="AW16" s="10" t="n"/>
      <c r="AX16" s="10" t="n"/>
      <c r="AY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1.5</v>
      </c>
      <c r="AJ17" s="10" t="n">
        <v>1.5</v>
      </c>
      <c r="AK17" s="10" t="n">
        <v>2</v>
      </c>
      <c r="AL17" s="10" t="n">
        <v>2</v>
      </c>
      <c r="AM17" s="10" t="n">
        <v>2</v>
      </c>
      <c r="AN17" s="10" t="n">
        <v>0.5</v>
      </c>
      <c r="AO17" s="10" t="n">
        <v>1</v>
      </c>
      <c r="AP17" s="10" t="n">
        <v>1</v>
      </c>
      <c r="AQ17" s="10" t="n">
        <v>2</v>
      </c>
      <c r="AR17" s="10" t="n">
        <v>2</v>
      </c>
      <c r="AS17" s="10" t="n">
        <v>2</v>
      </c>
      <c r="AT17" s="10" t="n">
        <v>0.5</v>
      </c>
      <c r="AU17" s="10" t="n">
        <v>0.6</v>
      </c>
      <c r="AV17" s="10" t="n">
        <v>0.6</v>
      </c>
      <c r="AW17" s="10" t="n">
        <v>1.4</v>
      </c>
      <c r="AX17" s="10" t="n">
        <v>1.4</v>
      </c>
      <c r="AY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0.5</v>
      </c>
      <c r="AJ18" s="10" t="n">
        <v>0.5</v>
      </c>
      <c r="AK18" s="10" t="n">
        <v>1</v>
      </c>
      <c r="AL18" s="10" t="n">
        <v>1</v>
      </c>
      <c r="AM18" s="10" t="n">
        <v>1</v>
      </c>
      <c r="AN18" s="10" t="n">
        <v>0.1</v>
      </c>
      <c r="AO18" s="10" t="n">
        <v>0.5</v>
      </c>
      <c r="AP18" s="10" t="n">
        <v>0.5</v>
      </c>
      <c r="AQ18" s="10" t="n">
        <v>1</v>
      </c>
      <c r="AR18" s="10" t="n">
        <v>1</v>
      </c>
      <c r="AS18" s="10" t="n">
        <v>1</v>
      </c>
      <c r="AT18" s="10" t="n">
        <v>0.1</v>
      </c>
      <c r="AU18" s="10" t="n">
        <v>0.4</v>
      </c>
      <c r="AV18" s="10" t="n">
        <v>0.4</v>
      </c>
      <c r="AW18" s="10" t="n">
        <v>1.8</v>
      </c>
      <c r="AX18" s="10" t="n">
        <v>1.8</v>
      </c>
      <c r="AY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faible</t>
        </is>
      </c>
      <c r="AK19" s="10" t="inlineStr">
        <is>
          <t>present</t>
        </is>
      </c>
      <c r="AL19" s="10" t="inlineStr">
        <is>
          <t>present</t>
        </is>
      </c>
      <c r="AM19" s="10" t="inlineStr">
        <is>
          <t>present</t>
        </is>
      </c>
      <c r="AN19" s="10" t="inlineStr">
        <is>
          <t>tres_faible</t>
        </is>
      </c>
      <c r="AO19" s="10" t="inlineStr">
        <is>
          <t>faible</t>
        </is>
      </c>
      <c r="AP19" s="10" t="inlineStr">
        <is>
          <t>faible</t>
        </is>
      </c>
      <c r="AQ19" s="10" t="inlineStr">
        <is>
          <t>present</t>
        </is>
      </c>
      <c r="AR19" s="10" t="inlineStr">
        <is>
          <t>present</t>
        </is>
      </c>
      <c r="AS19" s="10" t="inlineStr">
        <is>
          <t>present</t>
        </is>
      </c>
      <c r="AT19" s="10" t="inlineStr">
        <is>
          <t>tres_faible</t>
        </is>
      </c>
      <c r="AU19" s="10" t="inlineStr">
        <is>
          <t>tres_faible</t>
        </is>
      </c>
      <c r="AV19" s="10" t="inlineStr">
        <is>
          <t>tres_faible</t>
        </is>
      </c>
      <c r="AW19" s="10" t="n"/>
      <c r="AX19" s="10" t="n"/>
      <c r="AY19" s="10" t="n"/>
    </row>
    <row r="20" ht="15.5" customHeight="1" s="24">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69.98999999999999</v>
      </c>
      <c r="AJ21" s="10" t="n">
        <v>159.99</v>
      </c>
      <c r="AK21" s="10" t="n">
        <v>37.99</v>
      </c>
      <c r="AL21" s="10" t="n">
        <v>84.98999999999999</v>
      </c>
      <c r="AM21" s="10" t="n">
        <v>159.99</v>
      </c>
      <c r="AN21" s="10" t="n">
        <v>31.49</v>
      </c>
      <c r="AO21" s="10" t="n">
        <v>57.99</v>
      </c>
      <c r="AP21" s="10" t="n">
        <v>124.99</v>
      </c>
      <c r="AQ21" s="10" t="n">
        <v>41.99</v>
      </c>
      <c r="AR21" s="10" t="n">
        <v>84.98999999999999</v>
      </c>
      <c r="AS21" s="10" t="n">
        <v>188.99</v>
      </c>
      <c r="AT21" s="10" t="n">
        <v>49.99</v>
      </c>
      <c r="AU21" s="10" t="n">
        <v>69.90000000000001</v>
      </c>
      <c r="AV21" s="10" t="n">
        <v>104.9</v>
      </c>
      <c r="AW21" s="10" t="n">
        <v>32.9</v>
      </c>
      <c r="AX21" s="10" t="n">
        <v>54.9</v>
      </c>
      <c r="AY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44.99</v>
      </c>
      <c r="AJ22" s="10" t="n">
        <v>99.98999999999999</v>
      </c>
      <c r="AK22" s="10" t="n">
        <v>27.99</v>
      </c>
      <c r="AL22" s="10" t="n">
        <v>64.98999999999999</v>
      </c>
      <c r="AM22" s="10" t="n">
        <v>129.99</v>
      </c>
      <c r="AN22" s="10" t="n">
        <v>25.99</v>
      </c>
      <c r="AO22" s="10" t="n">
        <v>57.99</v>
      </c>
      <c r="AP22" s="10" t="n">
        <v>124.99</v>
      </c>
      <c r="AQ22" s="10" t="n">
        <v>17.99</v>
      </c>
      <c r="AR22" s="10" t="n">
        <v>40.99</v>
      </c>
      <c r="AS22" s="10" t="n">
        <v>91.09999999999999</v>
      </c>
      <c r="AT22" s="10" t="n">
        <v>49.99</v>
      </c>
      <c r="AU22" s="10" t="n">
        <v>69.90000000000001</v>
      </c>
      <c r="AV22" s="10" t="n">
        <v>104.9</v>
      </c>
      <c r="AW22" s="10" t="n">
        <v>32.9</v>
      </c>
      <c r="AX22" s="10" t="n">
        <v>54.9</v>
      </c>
      <c r="AY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v>23.99</v>
      </c>
      <c r="AL23" s="10" t="n"/>
      <c r="AM23" s="10" t="n"/>
      <c r="AN23" s="10" t="n">
        <v>22.25</v>
      </c>
      <c r="AO23" s="10" t="n">
        <v>56.4</v>
      </c>
      <c r="AP23" s="10" t="n"/>
      <c r="AQ23" s="10" t="n">
        <v>34.99</v>
      </c>
      <c r="AR23" s="10" t="n">
        <v>56.4</v>
      </c>
      <c r="AS23" s="10" t="n">
        <v>188.99</v>
      </c>
      <c r="AT23" s="10" t="n"/>
      <c r="AU23" s="10" t="n"/>
      <c r="AV23" s="10" t="n"/>
      <c r="AW23" s="10" t="n"/>
      <c r="AX23" s="10" t="n">
        <v>27.02</v>
      </c>
      <c r="AY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row>
    <row r="26" ht="15.5" customHeight="1" s="24">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row>
    <row r="33" ht="15.5" customHeight="1" s="24">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row>
    <row r="44" ht="15.5" customHeight="1" s="2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row>
    <row r="45" ht="43.5" customHeight="1" s="24">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Site propre, Amazon</t>
        </is>
      </c>
      <c r="AJ45" s="10" t="inlineStr">
        <is>
          <t>Site propre</t>
        </is>
      </c>
      <c r="AK45" s="10" t="inlineStr">
        <is>
          <t>Site propre, Amazon</t>
        </is>
      </c>
      <c r="AL45" s="10" t="inlineStr">
        <is>
          <t>Site propre</t>
        </is>
      </c>
      <c r="AM45" s="10" t="inlineStr">
        <is>
          <t>Site propre</t>
        </is>
      </c>
      <c r="AN45" s="10" t="inlineStr">
        <is>
          <t>Site propre</t>
        </is>
      </c>
      <c r="AO45" s="10" t="inlineStr">
        <is>
          <t>Site propre, Amazon</t>
        </is>
      </c>
      <c r="AP45" s="10" t="inlineStr">
        <is>
          <t>Site propre, Amazon</t>
        </is>
      </c>
      <c r="AQ45" s="10" t="inlineStr">
        <is>
          <t>Site propre, Amazon, revendeurs</t>
        </is>
      </c>
      <c r="AR45" s="10" t="inlineStr">
        <is>
          <t>Site propre</t>
        </is>
      </c>
      <c r="AS45" s="10" t="inlineStr">
        <is>
          <t>Site propre</t>
        </is>
      </c>
      <c r="AT45" s="10" t="inlineStr">
        <is>
          <t>Site propre, Amazon</t>
        </is>
      </c>
      <c r="AU45" s="10" t="inlineStr">
        <is>
          <t>Site propre, Amazon</t>
        </is>
      </c>
      <c r="AV45" s="10" t="inlineStr">
        <is>
          <t>Site propre, Amazon</t>
        </is>
      </c>
      <c r="AW45" s="10" t="inlineStr">
        <is>
          <t>Site propre, Amazon</t>
        </is>
      </c>
      <c r="AX45" s="10" t="inlineStr">
        <is>
          <t>Site propre, Amazon</t>
        </is>
      </c>
      <c r="AY45" s="10" t="inlineStr">
        <is>
          <t>Site propre, Amazon</t>
        </is>
      </c>
    </row>
    <row r="46" ht="87" customHeight="1" s="24">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https://www.bulk.com/fr/pure-whey-isolate-90.html</t>
        </is>
      </c>
      <c r="AJ46" s="10" t="inlineStr">
        <is>
          <t>https://www.bulk.com/fr/pure-whey-isolate-90.html</t>
        </is>
      </c>
      <c r="AK46" s="10" t="inlineStr">
        <is>
          <t>https://www.bulk.com/fr/pure-whey-protein-1.html</t>
        </is>
      </c>
      <c r="AL46" s="10" t="inlineStr">
        <is>
          <t>https://www.bulk.com/fr/pure-whey-protein-1.html</t>
        </is>
      </c>
      <c r="AM46" s="10" t="inlineStr">
        <is>
          <t>https://www.bulk.com/fr/pure-whey-protein-1.html</t>
        </is>
      </c>
      <c r="AN46" s="10" t="inlineStr">
        <is>
          <t>https://www.bulk.com/fr/clear-whey-isolate.html</t>
        </is>
      </c>
      <c r="AO46" s="10" t="inlineStr">
        <is>
          <t>https://fr.myprotein.com/p/nutrition-sportive/impact-whey-isolate/10852482/</t>
        </is>
      </c>
      <c r="AP46" s="10" t="inlineStr">
        <is>
          <t>https://fr.myprotein.com/p/nutrition-sportive/impact-whey-isolate-framboise-poche-2.5-kg/10530927/</t>
        </is>
      </c>
      <c r="AQ46" s="10" t="inlineStr">
        <is>
          <t>https://fr.myprotein.com/p/nutrition-sportive/myprotein-impact-whey-protein-chocolate-1kg/11068071/</t>
        </is>
      </c>
      <c r="AR46" s="10" t="inlineStr">
        <is>
          <t>https://fr.myprotein.com/p/nutrition-sportive/myprotein-impact-whey-protein-chocolate-nut-2.5kg/10530969/</t>
        </is>
      </c>
      <c r="AS46" s="10" t="inlineStr">
        <is>
          <t>https://fr.myprotein.com/p/nutrition-sportive/impact-whey-protein/10530943/</t>
        </is>
      </c>
      <c r="AT46" s="10" t="inlineStr">
        <is>
          <t>https://fr.myprotein.com/p/nutrition-sportive/clear-whey-isolate/12081395/</t>
        </is>
      </c>
      <c r="AU46" s="10" t="inlineStr">
        <is>
          <t>https://shop.biotechusa.fr/products/iso-whey-zero-908-g</t>
        </is>
      </c>
      <c r="AV46" s="10" t="inlineStr">
        <is>
          <t>https://shop.biotechusa.fr/products/iso-whey-zero-poudre-de-proteine-isolat-1816-g</t>
        </is>
      </c>
      <c r="AW46" s="10" t="inlineStr">
        <is>
          <t>https://shop.biotechusa.fr/products/100-pure-whey-400-g</t>
        </is>
      </c>
      <c r="AX46" s="10" t="inlineStr">
        <is>
          <t>https://shop.biotechusa.fr/products/100-pure-whey-renouvele-1000-g</t>
        </is>
      </c>
      <c r="AY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row>
    <row r="48" ht="159.5" customHeight="1" s="24">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inlineStr">
        <is>
          <t>Catalogue fictif majeur: 69.99€ barré vs 44.99€ réel (-36%)</t>
        </is>
      </c>
      <c r="AJ48" s="10" t="inlineStr">
        <is>
          <t>Catalogue fictif fort: 159.99€ vs 99.99€ réel (-37%)</t>
        </is>
      </c>
      <c r="AK48" s="10" t="inlineStr">
        <is>
          <t>Catalogue partiellement fictif: barré 37.99€ vs current 27.99€ vs marché 23.99€</t>
        </is>
      </c>
      <c r="AL48" s="10" t="inlineStr">
        <is>
          <t>Catalogue fictif: 84.99€ barré vs 64.99€ réel (-23%)</t>
        </is>
      </c>
      <c r="AM48" s="10" t="inlineStr">
        <is>
          <t>Catalogue fictif: 159.99€ vs 129.99€ payé (-19%)</t>
        </is>
      </c>
      <c r="AN48" s="10" t="inlineStr">
        <is>
          <t>Catalogue 31.49€ barré vs 25.99€ payé (-17%). Marché 22.25€</t>
        </is>
      </c>
      <c r="AO48" s="10" t="inlineStr">
        <is>
          <t>Isolate EXCLU de la promo -30% MyProtein. Prix current = prix nominal (pas de discount automatique). Revert de l'ancienne estimation ×0.7.</t>
        </is>
      </c>
      <c r="AP48" s="10" t="inlineStr">
        <is>
          <t>Confirmé via variant Framboise 2.5kg (10530927) : 124.99€ affiché sans strikethrough. Isolate exclu de la promo -30%.</t>
        </is>
      </c>
      <c r="AQ48" s="10" t="inlineStr">
        <is>
          <t>Prix actuel = 17.99€ sur fr.myprotein.com/.../11068071/ (scraped Playwright 2026-04-14). Promo site -30% + extra app ramène à 17.99 vs 41.99 nominal (soit -57%). Pattern MyProtein Whey Protein uniquement.</t>
        </is>
      </c>
      <c r="AR48" s="10" t="inlineStr">
        <is>
          <t>Prix scrapé via variant Chocolate Nut 2.5kg (10530969) : 84.99€ barré / 40.99€ actuel. Promo -52%. Playwright 2026-04-14.</t>
        </is>
      </c>
      <c r="AS48" s="10" t="inlineStr">
        <is>
          <t>5kg n'existe qu'en 'Sans arôme' (chocolat inexistant). Current price = extrapolation du ratio 2.5kg (40.99/84.99=0.482) : 188.99 × 0.482 ≈ 91.10€.</t>
        </is>
      </c>
      <c r="AT48" s="10" t="inlineStr">
        <is>
          <t>Clear Whey exclu de la promo -30% (mention explicite). Format 875g max (pas de 1kg). Confirmé via scraping 12081395.</t>
        </is>
      </c>
      <c r="AU48" s="10" t="n"/>
      <c r="AV48" s="10" t="n"/>
      <c r="AW48" s="10" t="inlineStr">
        <is>
          <t>8.2€/100g vs 5.5€/100g sur format 1kg (petit format plus cher)</t>
        </is>
      </c>
      <c r="AX48" s="10" t="inlineStr">
        <is>
          <t>GROS ÉCART : site marque 54.90€ vs idealo 27.02€ (-51%). Cross-retailers beaucoup moins cher.</t>
        </is>
      </c>
      <c r="AY48" s="10" t="inlineStr">
        <is>
          <t>Cohérent avec 1kg : site marque surcoté vs cross-retailers (~-40-50%)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51"/>
  <sheetViews>
    <sheetView workbookViewId="0">
      <pane xSplit="1" ySplit="1" topLeftCell="Q35" activePane="bottomRight" state="frozen"/>
      <selection pane="topRight" activeCell="A1" sqref="A1"/>
      <selection pane="bottomLeft" activeCell="A1" sqref="A1"/>
      <selection pane="bottomRight" activeCell="A47" sqref="A47:XFD57"/>
    </sheetView>
  </sheetViews>
  <sheetFormatPr baseColWidth="10" defaultColWidth="8.7265625" defaultRowHeight="14.5"/>
  <cols>
    <col width="14" customWidth="1" style="24" min="1" max="1"/>
    <col width="30" customWidth="1" style="24" min="2" max="2"/>
    <col width="22" customWidth="1" style="24" min="3" max="3"/>
    <col width="13" customWidth="1" style="24" min="4" max="4"/>
    <col width="10" customWidth="1" style="24" min="5" max="5"/>
    <col width="12" customWidth="1" style="24" min="6" max="6"/>
    <col width="13" customWidth="1" style="24" min="7" max="10"/>
    <col width="14" customWidth="1" style="24" min="11" max="12"/>
    <col width="13" customWidth="1" style="24" min="13" max="13"/>
    <col width="16" customWidth="1" style="24" min="14" max="14"/>
    <col width="13" customWidth="1" style="24" min="15" max="15"/>
    <col width="8" customWidth="1" style="24" min="16" max="16"/>
    <col width="12" customWidth="1" style="24" min="17" max="18"/>
    <col width="14" customWidth="1" style="24" min="19" max="19"/>
    <col width="16" customWidth="1" style="24" min="20" max="20"/>
    <col width="14" customWidth="1" style="24" min="21" max="21"/>
    <col width="16" customWidth="1" style="24" min="22" max="22"/>
    <col width="50" customWidth="1" style="24" min="23" max="23"/>
    <col width="30" customWidth="1" style="24"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s="22"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s="22"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s="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s="22"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Isolate 1kg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https://www.bulk.com/fr/pure-whey-isolate-90.html</t>
        </is>
      </c>
      <c r="X35" t="inlineStr">
        <is>
          <t>Catalogue fictif majeur: 69.99€ barré vs 44.99€ réel (-36%)</t>
        </is>
      </c>
    </row>
    <row r="36">
      <c r="A36">
        <f>'Benchmark détaillé'!AJ1</f>
        <v/>
      </c>
      <c r="B36" t="inlineStr">
        <is>
          <t>Pure Whey Isolate 2,5kg</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https://www.bulk.com/fr/pure-whey-isolate-90.html</t>
        </is>
      </c>
      <c r="X36" t="inlineStr">
        <is>
          <t>Catalogue fictif fort: 159.99€ vs 99.99€ réel (-37%)</t>
        </is>
      </c>
    </row>
    <row r="37">
      <c r="A37">
        <f>'Benchmark détaillé'!AK1</f>
        <v/>
      </c>
      <c r="B37" t="inlineStr">
        <is>
          <t>Pure Whey Protein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https://www.bulk.com/fr/pure-whey-protein-1.html</t>
        </is>
      </c>
      <c r="X37" t="inlineStr">
        <is>
          <t>Catalogue partiellement fictif: barré 37.99€ vs current 27.99€ vs marché 23.99€</t>
        </is>
      </c>
    </row>
    <row r="38">
      <c r="A38">
        <f>'Benchmark détaillé'!AL1</f>
        <v/>
      </c>
      <c r="B38" t="inlineStr">
        <is>
          <t>Pure Whey Protein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https://www.bulk.com/fr/pure-whey-protein-1.html</t>
        </is>
      </c>
      <c r="X38" t="inlineStr">
        <is>
          <t>Catalogue fictif: 84.99€ barré vs 64.99€ réel (-23%)</t>
        </is>
      </c>
    </row>
    <row r="39">
      <c r="A39">
        <f>'Benchmark détaillé'!AM1</f>
        <v/>
      </c>
      <c r="B39" t="inlineStr">
        <is>
          <t>Pure Whey Protein 5kg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fictif: 159.99€ vs 129.99€ payé (-19%)</t>
        </is>
      </c>
    </row>
    <row r="40">
      <c r="A40">
        <f>'Benchmark détaillé'!AN1</f>
        <v/>
      </c>
      <c r="B40" t="inlineStr">
        <is>
          <t>Clear Whey Isolate 500g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https://www.bulk.com/fr/clear-whey-isolate.html</t>
        </is>
      </c>
      <c r="X40" t="inlineStr">
        <is>
          <t>Catalogue 31.49€ barré vs 25.99€ payé (-17%). Marché 22.25€</t>
        </is>
      </c>
    </row>
    <row r="41">
      <c r="A41">
        <f>'Benchmark détaillé'!AO1</f>
        <v/>
      </c>
      <c r="B41" t="inlineStr">
        <is>
          <t>Impact Whey Isolate 1kg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https://fr.myprotein.com/p/nutrition-sportive/impact-whey-isolate/10852482/</t>
        </is>
      </c>
      <c r="X41" t="inlineStr">
        <is>
          <t>Isolate EXCLU de la promo -30% MyProtein. Prix current = prix nominal (pas de discount automatique). Revert de l'ancienne estimation ×0.7.</t>
        </is>
      </c>
    </row>
    <row r="42">
      <c r="A42">
        <f>'Benchmark détaillé'!AP1</f>
        <v/>
      </c>
      <c r="B42" t="inlineStr">
        <is>
          <t>Impact Whey Isolate 2,5kg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https://fr.myprotein.com/p/nutrition-sportive/impact-whey-isolate-framboise-poche-2.5-kg/10530927/</t>
        </is>
      </c>
      <c r="X42" t="inlineStr">
        <is>
          <t>Confirmé via variant Framboise 2.5kg (10530927) : 124.99€ affiché sans strikethrough. Isolate exclu de la promo -30%.</t>
        </is>
      </c>
    </row>
    <row r="43">
      <c r="A43">
        <f>'Benchmark détaillé'!AQ1</f>
        <v/>
      </c>
      <c r="B43" t="inlineStr">
        <is>
          <t>Impact Whey Protein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https://fr.myprotein.com/p/nutrition-sportive/myprotein-impact-whey-protein-chocolate-1kg/11068071/</t>
        </is>
      </c>
      <c r="X43" t="inlineStr">
        <is>
          <t>Prix actuel = 17.99€ sur fr.myprotein.com/.../11068071/ (scraped Playwright 2026-04-14). Promo site -30% + extra app ramène à 17.99 vs 41.99 nominal (soit -57%). Pattern MyProtein Whey Protein uniquement.</t>
        </is>
      </c>
    </row>
    <row r="44">
      <c r="A44">
        <f>'Benchmark détaillé'!AR1</f>
        <v/>
      </c>
      <c r="B44" t="inlineStr">
        <is>
          <t>Impact Whey Protein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https://fr.myprotein.com/p/nutrition-sportive/myprotein-impact-whey-protein-chocolate-nut-2.5kg/10530969/</t>
        </is>
      </c>
      <c r="X44" t="inlineStr">
        <is>
          <t>Prix scrapé via variant Chocolate Nut 2.5kg (10530969) : 84.99€ barré / 40.99€ actuel. Promo -52%. Playwright 2026-04-14.</t>
        </is>
      </c>
    </row>
    <row r="45">
      <c r="A45">
        <f>'Benchmark détaillé'!AS1</f>
        <v/>
      </c>
      <c r="B45" t="inlineStr">
        <is>
          <t>Impact Whey Protein 5kg (Sans arôme)</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https://fr.myprotein.com/p/nutrition-sportive/impact-whey-protein/10530943/</t>
        </is>
      </c>
      <c r="X45" t="inlineStr">
        <is>
          <t>5kg n'existe qu'en 'Sans arôme' (chocolat inexistant). Current price = extrapolation du ratio 2.5kg (40.99/84.99=0.482) : 188.99 × 0.482 ≈ 91.10€.</t>
        </is>
      </c>
    </row>
    <row r="46">
      <c r="A46">
        <f>'Benchmark détaillé'!AT1</f>
        <v/>
      </c>
      <c r="B46" t="inlineStr">
        <is>
          <t>Clear Whey Isolate 875g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https://fr.myprotein.com/p/nutrition-sportive/clear-whey-isolate/12081395/</t>
        </is>
      </c>
      <c r="X46" t="inlineStr">
        <is>
          <t>Clear Whey exclu de la promo -30% (mention explicite). Format 875g max (pas de 1kg). Confirmé via scraping 12081395.</t>
        </is>
      </c>
    </row>
    <row r="47">
      <c r="A47">
        <f>'Benchmark détaillé'!AU1</f>
        <v/>
      </c>
      <c r="B47" t="inlineStr">
        <is>
          <t>Iso Whey Zero 908g</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https://shop.biotechusa.fr/products/iso-whey-zero-908-g</t>
        </is>
      </c>
    </row>
    <row r="48">
      <c r="A48">
        <f>'Benchmark détaillé'!AV1</f>
        <v/>
      </c>
      <c r="B48" t="inlineStr">
        <is>
          <t>Iso Whey Zero 1816g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https://shop.biotechusa.fr/products/iso-whey-zero-poudre-de-proteine-isolat-1816-g</t>
        </is>
      </c>
    </row>
    <row r="49">
      <c r="A49">
        <f>'Benchmark détaillé'!AW1</f>
        <v/>
      </c>
      <c r="B49" t="inlineStr">
        <is>
          <t>100% Pure Whey 400g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https://shop.biotechusa.fr/products/100-pure-whey-400-g</t>
        </is>
      </c>
      <c r="X49" t="inlineStr">
        <is>
          <t>8.2€/100g vs 5.5€/100g sur format 1kg (petit format plus cher)</t>
        </is>
      </c>
    </row>
    <row r="50">
      <c r="A50">
        <f>'Benchmark détaillé'!AX1</f>
        <v/>
      </c>
      <c r="B50" t="inlineStr">
        <is>
          <t>100% Pure Whey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https://shop.biotechusa.fr/products/100-pure-whey-renouvele-1000-g</t>
        </is>
      </c>
      <c r="X50" t="inlineStr">
        <is>
          <t>GROS ÉCART : site marque 54.90€ vs idealo 27.02€ (-51%). Cross-retailers beaucoup moins cher.</t>
        </is>
      </c>
    </row>
    <row r="51">
      <c r="A51">
        <f>'Benchmark détaillé'!AY1</f>
        <v/>
      </c>
      <c r="B51" t="inlineStr">
        <is>
          <t>100% Pure Whey 2000g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https://shop.biotechusa.fr/products/100-pure-whey-2000-g</t>
        </is>
      </c>
      <c r="X51" t="inlineStr">
        <is>
          <t>Cohérent avec 1kg : site marque surcoté vs cross-retailers (~-40-50%)</t>
        </is>
      </c>
    </row>
  </sheetData>
  <hyperlinks>
    <hyperlink xmlns:r="http://schemas.openxmlformats.org/officeDocument/2006/relationships" ref="W8" location="/332-poids_poudre-seau_2kg" r:id="rId1"/>
    <hyperlink xmlns:r="http://schemas.openxmlformats.org/officeDocument/2006/relationships" ref="W10" r:id="rId2"/>
    <hyperlink xmlns:r="http://schemas.openxmlformats.org/officeDocument/2006/relationships" ref="W22" r:id="rId3"/>
    <hyperlink xmlns:r="http://schemas.openxmlformats.org/officeDocument/2006/relationships" ref="W30"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xSplit="1" ySplit="1" topLeftCell="B6" activePane="bottomRight" state="frozen"/>
      <selection pane="topRight" activeCell="A1" sqref="A1"/>
      <selection pane="bottomLeft" activeCell="A1" sqref="A1"/>
      <selection pane="bottomRight" activeCell="A8" sqref="A8:XFD8"/>
    </sheetView>
  </sheetViews>
  <sheetFormatPr baseColWidth="10" defaultColWidth="8.7265625" defaultRowHeight="14.5"/>
  <cols>
    <col width="14" customWidth="1" style="24" min="1" max="1"/>
    <col width="10" customWidth="1" style="24" min="2" max="2"/>
    <col width="16" customWidth="1" style="24" min="3" max="6"/>
    <col width="18" customWidth="1" style="24" min="7" max="7"/>
    <col width="16" customWidth="1" style="24" min="8" max="8"/>
    <col width="34" customWidth="1" style="24" min="9" max="9"/>
    <col width="10" customWidth="1" style="24" min="10" max="10"/>
    <col width="30" customWidth="1" style="24" min="11" max="11"/>
    <col width="40" customWidth="1" style="24" min="12"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15000000000001" customHeight="1" s="24">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15000000000001" customHeight="1" s="24">
      <c r="A3" s="10" t="inlineStr">
        <is>
          <t>NUTRIPURE</t>
        </is>
      </c>
      <c r="B3" s="10" t="n">
        <v>10</v>
      </c>
      <c r="C3" s="10" t="n"/>
      <c r="D3" s="10" t="n"/>
      <c r="E3" s="10" t="n"/>
      <c r="F3" s="10" t="n"/>
      <c r="G3" s="10" t="n"/>
      <c r="H3" s="10" t="inlineStr">
        <is>
          <t>aucun</t>
        </is>
      </c>
      <c r="I3" s="10" t="n"/>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15000000000001" customHeight="1" s="24">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15000000000001" customHeight="1" s="24">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15000000000001" customHeight="1" s="24">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15000000000001" customHeight="1" s="24">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15000000000001" customHeight="1" s="24">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15000000000001" customHeight="1" s="24">
      <c r="A9" s="10" t="inlineStr">
        <is>
          <t>DECATHLON</t>
        </is>
      </c>
      <c r="B9" s="10" t="n"/>
      <c r="C9" s="10" t="n"/>
      <c r="D9" s="10" t="n"/>
      <c r="E9" s="10" t="n"/>
      <c r="F9" s="10" t="n"/>
      <c r="G9" s="10" t="n"/>
      <c r="H9" s="10" t="inlineStr">
        <is>
          <t>ponctuel</t>
        </is>
      </c>
      <c r="I9" s="10" t="n"/>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15000000000001" customHeight="1" s="24">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15000000000001" customHeight="1" s="24">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15000000000001" customHeight="1" s="24">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15000000000001" customHeight="1" s="24">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15000000000001" customHeight="1" s="24">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15000000000001" customHeight="1" s="24">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
  <sheetViews>
    <sheetView workbookViewId="0">
      <pane ySplit="2" topLeftCell="A3" activePane="bottomLeft" state="frozen"/>
      <selection pane="bottomLeft" activeCell="E46" sqref="E46"/>
    </sheetView>
  </sheetViews>
  <sheetFormatPr baseColWidth="10" defaultColWidth="8.7265625" defaultRowHeight="14.5"/>
  <cols>
    <col width="6" customWidth="1" style="24" min="1" max="1"/>
    <col width="14" customWidth="1" style="24" min="2" max="2"/>
    <col width="30" customWidth="1" style="24" min="3" max="3"/>
    <col width="10" customWidth="1" style="24" min="4" max="4"/>
    <col width="13" customWidth="1" style="24" min="5" max="7"/>
    <col width="18" customWidth="1" style="24" min="8" max="9"/>
    <col width="22" customWidth="1" style="24" min="10" max="10"/>
    <col width="18" customWidth="1" style="24" min="11" max="11"/>
    <col width="22" customWidth="1" style="24" min="12" max="12"/>
    <col width="16" customWidth="1" style="24" min="13" max="13"/>
  </cols>
  <sheetData>
    <row r="1" ht="55" customHeight="1" s="24">
      <c r="A1" s="23"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prix'!A44</f>
        <v/>
      </c>
      <c r="C3" t="inlineStr">
        <is>
          <t>Impact Whey Protein 2,5kg</t>
        </is>
      </c>
      <c r="D3" t="inlineStr">
        <is>
          <t>2.5kg</t>
        </is>
      </c>
      <c r="E3" s="12">
        <f>'Synthèse prix'!H44</f>
        <v/>
      </c>
      <c r="F3" s="12">
        <f>'Synthèse prix'!I44</f>
        <v/>
      </c>
      <c r="G3" s="12">
        <f>'Synthèse prix'!J44</f>
        <v/>
      </c>
      <c r="H3" s="12">
        <f>'Synthèse prix'!N44</f>
        <v/>
      </c>
      <c r="I3" s="12">
        <f>'Synthèse prix'!S44</f>
        <v/>
      </c>
      <c r="J3" s="12">
        <f>'Synthèse prix'!T44</f>
        <v/>
      </c>
      <c r="K3" s="12">
        <f>'Synthèse prix'!U44</f>
        <v/>
      </c>
      <c r="L3" s="12">
        <f>'Synthèse prix'!V44</f>
        <v/>
      </c>
      <c r="M3" s="12">
        <f>'Synthèse prix'!Q44</f>
        <v/>
      </c>
    </row>
    <row r="4">
      <c r="A4" t="n">
        <v>2</v>
      </c>
      <c r="B4">
        <f>'Synthèse prix'!A43</f>
        <v/>
      </c>
      <c r="C4" t="inlineStr">
        <is>
          <t>Impact Whey Protein 1kg</t>
        </is>
      </c>
      <c r="D4" t="inlineStr">
        <is>
          <t>1kg</t>
        </is>
      </c>
      <c r="E4" s="12">
        <f>'Synthèse prix'!H43</f>
        <v/>
      </c>
      <c r="F4" s="12">
        <f>'Synthèse prix'!I43</f>
        <v/>
      </c>
      <c r="G4" s="12">
        <f>'Synthèse prix'!J43</f>
        <v/>
      </c>
      <c r="H4" s="12">
        <f>'Synthèse prix'!N43</f>
        <v/>
      </c>
      <c r="I4" s="12">
        <f>'Synthèse prix'!S43</f>
        <v/>
      </c>
      <c r="J4" s="12">
        <f>'Synthèse prix'!T43</f>
        <v/>
      </c>
      <c r="K4" s="12">
        <f>'Synthèse prix'!U43</f>
        <v/>
      </c>
      <c r="L4" s="12">
        <f>'Synthèse prix'!V43</f>
        <v/>
      </c>
      <c r="M4" s="12">
        <f>'Synthèse prix'!Q43</f>
        <v/>
      </c>
    </row>
    <row r="5">
      <c r="A5" t="n">
        <v>3</v>
      </c>
      <c r="B5">
        <f>'Synthèse prix'!A45</f>
        <v/>
      </c>
      <c r="C5" t="inlineStr">
        <is>
          <t>Impact Whey Protein 5kg (Sans arôme)</t>
        </is>
      </c>
      <c r="D5" t="inlineStr">
        <is>
          <t>5kg</t>
        </is>
      </c>
      <c r="E5" s="12">
        <f>'Synthèse prix'!H45</f>
        <v/>
      </c>
      <c r="F5" s="12">
        <f>'Synthèse prix'!I45</f>
        <v/>
      </c>
      <c r="G5" s="12">
        <f>'Synthèse prix'!J45</f>
        <v/>
      </c>
      <c r="H5" s="12">
        <f>'Synthèse prix'!N45</f>
        <v/>
      </c>
      <c r="I5" s="12">
        <f>'Synthèse prix'!S45</f>
        <v/>
      </c>
      <c r="J5" s="12">
        <f>'Synthèse prix'!T45</f>
        <v/>
      </c>
      <c r="K5" s="12">
        <f>'Synthèse prix'!U45</f>
        <v/>
      </c>
      <c r="L5" s="12">
        <f>'Synthèse prix'!V45</f>
        <v/>
      </c>
      <c r="M5" s="12">
        <f>'Synthèse prix'!Q45</f>
        <v/>
      </c>
    </row>
    <row r="6">
      <c r="A6" t="n">
        <v>4</v>
      </c>
      <c r="B6">
        <f>'Synthèse prix'!A38</f>
        <v/>
      </c>
      <c r="C6" t="inlineStr">
        <is>
          <t>Pure Whey Protein 2,5kg</t>
        </is>
      </c>
      <c r="D6" t="inlineStr">
        <is>
          <t>2.5kg</t>
        </is>
      </c>
      <c r="E6" s="12">
        <f>'Synthèse prix'!H38</f>
        <v/>
      </c>
      <c r="F6" s="12">
        <f>'Synthèse prix'!I38</f>
        <v/>
      </c>
      <c r="G6" s="12">
        <f>'Synthèse prix'!J38</f>
        <v/>
      </c>
      <c r="H6" s="12">
        <f>'Synthèse prix'!N38</f>
        <v/>
      </c>
      <c r="I6" s="12">
        <f>'Synthèse prix'!S38</f>
        <v/>
      </c>
      <c r="J6" s="12">
        <f>'Synthèse prix'!T38</f>
        <v/>
      </c>
      <c r="K6" s="12">
        <f>'Synthèse prix'!U38</f>
        <v/>
      </c>
      <c r="L6" s="12">
        <f>'Synthèse prix'!V38</f>
        <v/>
      </c>
      <c r="M6" s="12">
        <f>'Synthèse prix'!Q38</f>
        <v/>
      </c>
    </row>
    <row r="7">
      <c r="A7" t="n">
        <v>5</v>
      </c>
      <c r="B7">
        <f>'Synthèse prix'!A39</f>
        <v/>
      </c>
      <c r="C7" t="inlineStr">
        <is>
          <t>Pure Whey Protein 5kg</t>
        </is>
      </c>
      <c r="D7" t="inlineStr">
        <is>
          <t>5kg</t>
        </is>
      </c>
      <c r="E7" s="12">
        <f>'Synthèse prix'!H39</f>
        <v/>
      </c>
      <c r="F7" s="12">
        <f>'Synthèse prix'!I39</f>
        <v/>
      </c>
      <c r="G7" s="12">
        <f>'Synthèse prix'!J39</f>
        <v/>
      </c>
      <c r="H7" s="12">
        <f>'Synthèse prix'!N39</f>
        <v/>
      </c>
      <c r="I7" s="12">
        <f>'Synthèse prix'!S39</f>
        <v/>
      </c>
      <c r="J7" s="12">
        <f>'Synthèse prix'!T39</f>
        <v/>
      </c>
      <c r="K7" s="12">
        <f>'Synthèse prix'!U39</f>
        <v/>
      </c>
      <c r="L7" s="12">
        <f>'Synthèse prix'!V39</f>
        <v/>
      </c>
      <c r="M7" s="12">
        <f>'Synthèse prix'!Q39</f>
        <v/>
      </c>
    </row>
    <row r="8">
      <c r="A8" t="n">
        <v>6</v>
      </c>
      <c r="B8">
        <f>'Synthèse prix'!A37</f>
        <v/>
      </c>
      <c r="C8" t="inlineStr">
        <is>
          <t>Pure Whey Protein 1kg</t>
        </is>
      </c>
      <c r="D8" t="inlineStr">
        <is>
          <t>1kg</t>
        </is>
      </c>
      <c r="E8" s="12">
        <f>'Synthèse prix'!H37</f>
        <v/>
      </c>
      <c r="F8" s="12">
        <f>'Synthèse prix'!I37</f>
        <v/>
      </c>
      <c r="G8" s="12">
        <f>'Synthèse prix'!J37</f>
        <v/>
      </c>
      <c r="H8" s="12">
        <f>'Synthèse prix'!N37</f>
        <v/>
      </c>
      <c r="I8" s="12">
        <f>'Synthèse prix'!S37</f>
        <v/>
      </c>
      <c r="J8" s="12">
        <f>'Synthèse prix'!T37</f>
        <v/>
      </c>
      <c r="K8" s="12">
        <f>'Synthèse prix'!U37</f>
        <v/>
      </c>
      <c r="L8" s="12">
        <f>'Synthèse prix'!V37</f>
        <v/>
      </c>
      <c r="M8" s="12">
        <f>'Synthèse prix'!Q37</f>
        <v/>
      </c>
    </row>
    <row r="9">
      <c r="A9" t="n">
        <v>7</v>
      </c>
      <c r="B9">
        <f>'Synthèse prix'!A36</f>
        <v/>
      </c>
      <c r="C9" t="inlineStr">
        <is>
          <t>Pure Whey Isolate 2,5kg</t>
        </is>
      </c>
      <c r="D9" t="inlineStr">
        <is>
          <t>2.5kg</t>
        </is>
      </c>
      <c r="E9" s="12">
        <f>'Synthèse prix'!H36</f>
        <v/>
      </c>
      <c r="F9" s="12">
        <f>'Synthèse prix'!I36</f>
        <v/>
      </c>
      <c r="G9" s="12">
        <f>'Synthèse prix'!J36</f>
        <v/>
      </c>
      <c r="H9" s="12">
        <f>'Synthèse prix'!N36</f>
        <v/>
      </c>
      <c r="I9" s="12">
        <f>'Synthèse prix'!S36</f>
        <v/>
      </c>
      <c r="J9" s="12">
        <f>'Synthèse prix'!T36</f>
        <v/>
      </c>
      <c r="K9" s="12">
        <f>'Synthèse prix'!U36</f>
        <v/>
      </c>
      <c r="L9" s="12">
        <f>'Synthèse prix'!V36</f>
        <v/>
      </c>
      <c r="M9" s="12">
        <f>'Synthèse prix'!Q36</f>
        <v/>
      </c>
    </row>
    <row r="10">
      <c r="A10" t="n">
        <v>9</v>
      </c>
      <c r="B10">
        <f>'Synthèse prix'!A35</f>
        <v/>
      </c>
      <c r="C10" t="inlineStr">
        <is>
          <t>Pure Whey Isolate 1kg</t>
        </is>
      </c>
      <c r="D10" t="inlineStr">
        <is>
          <t>1kg</t>
        </is>
      </c>
      <c r="E10" s="12">
        <f>'Synthèse prix'!H35</f>
        <v/>
      </c>
      <c r="F10" s="12">
        <f>'Synthèse prix'!I35</f>
        <v/>
      </c>
      <c r="G10" s="12">
        <f>'Synthèse prix'!J35</f>
        <v/>
      </c>
      <c r="H10" s="12">
        <f>'Synthèse prix'!N35</f>
        <v/>
      </c>
      <c r="I10" s="12">
        <f>'Synthèse prix'!S35</f>
        <v/>
      </c>
      <c r="J10" s="12">
        <f>'Synthèse prix'!T35</f>
        <v/>
      </c>
      <c r="K10" s="12">
        <f>'Synthèse prix'!U35</f>
        <v/>
      </c>
      <c r="L10" s="12">
        <f>'Synthèse prix'!V35</f>
        <v/>
      </c>
      <c r="M10" s="12">
        <f>'Synthèse prix'!Q35</f>
        <v/>
      </c>
    </row>
    <row r="11">
      <c r="A11" t="n">
        <v>10</v>
      </c>
      <c r="B11">
        <f>'Synthèse prix'!A42</f>
        <v/>
      </c>
      <c r="C11" t="inlineStr">
        <is>
          <t>Impact Whey Isolate 2,5kg</t>
        </is>
      </c>
      <c r="D11" t="inlineStr">
        <is>
          <t>2.5kg</t>
        </is>
      </c>
      <c r="E11" s="12">
        <f>'Synthèse prix'!H42</f>
        <v/>
      </c>
      <c r="F11" s="12">
        <f>'Synthèse prix'!I42</f>
        <v/>
      </c>
      <c r="G11" s="12">
        <f>'Synthèse prix'!J42</f>
        <v/>
      </c>
      <c r="H11" s="12">
        <f>'Synthèse prix'!N42</f>
        <v/>
      </c>
      <c r="I11" s="12">
        <f>'Synthèse prix'!S42</f>
        <v/>
      </c>
      <c r="J11" s="12">
        <f>'Synthèse prix'!T42</f>
        <v/>
      </c>
      <c r="K11" s="12">
        <f>'Synthèse prix'!U42</f>
        <v/>
      </c>
      <c r="L11" s="12">
        <f>'Synthèse prix'!V42</f>
        <v/>
      </c>
      <c r="M11" s="12">
        <f>'Synthèse prix'!Q42</f>
        <v/>
      </c>
    </row>
    <row r="12">
      <c r="A12" t="n">
        <v>12</v>
      </c>
      <c r="B12">
        <f>'Synthèse prix'!A34</f>
        <v/>
      </c>
      <c r="C12" t="inlineStr">
        <is>
          <t>Pure Whey Protein 2.2kg</t>
        </is>
      </c>
      <c r="D12" t="inlineStr">
        <is>
          <t>2.2kg</t>
        </is>
      </c>
      <c r="E12" s="12">
        <f>'Synthèse prix'!H34</f>
        <v/>
      </c>
      <c r="F12" s="12">
        <f>'Synthèse prix'!I34</f>
        <v/>
      </c>
      <c r="G12" s="12">
        <f>'Synthèse prix'!J34</f>
        <v/>
      </c>
      <c r="H12" s="12">
        <f>'Synthèse prix'!N34</f>
        <v/>
      </c>
      <c r="I12" s="12">
        <f>'Synthèse prix'!S34</f>
        <v/>
      </c>
      <c r="J12" s="12">
        <f>'Synthèse prix'!T34</f>
        <v/>
      </c>
      <c r="K12" s="12">
        <f>'Synthèse prix'!U34</f>
        <v/>
      </c>
      <c r="L12" s="12">
        <f>'Synthèse prix'!V34</f>
        <v/>
      </c>
      <c r="M12" s="12">
        <f>'Synthèse prix'!Q34</f>
        <v/>
      </c>
    </row>
    <row r="13">
      <c r="A13" t="n">
        <v>13</v>
      </c>
      <c r="B13">
        <f>'Synthèse prix'!A41</f>
        <v/>
      </c>
      <c r="C13" t="inlineStr">
        <is>
          <t>Impact Whey Isolate 1kg</t>
        </is>
      </c>
      <c r="D13" t="inlineStr">
        <is>
          <t>1kg</t>
        </is>
      </c>
      <c r="E13" s="12">
        <f>'Synthèse prix'!H41</f>
        <v/>
      </c>
      <c r="F13" s="12">
        <f>'Synthèse prix'!I41</f>
        <v/>
      </c>
      <c r="G13" s="12">
        <f>'Synthèse prix'!J41</f>
        <v/>
      </c>
      <c r="H13" s="12">
        <f>'Synthèse prix'!N41</f>
        <v/>
      </c>
      <c r="I13" s="12">
        <f>'Synthèse prix'!S41</f>
        <v/>
      </c>
      <c r="J13" s="12">
        <f>'Synthèse prix'!T41</f>
        <v/>
      </c>
      <c r="K13" s="12">
        <f>'Synthèse prix'!U41</f>
        <v/>
      </c>
      <c r="L13" s="12">
        <f>'Synthèse prix'!V41</f>
        <v/>
      </c>
      <c r="M13" s="12">
        <f>'Synthèse prix'!Q41</f>
        <v/>
      </c>
    </row>
    <row r="14">
      <c r="A14" t="n">
        <v>14</v>
      </c>
      <c r="B14">
        <f>'Synthèse prix'!A28</f>
        <v/>
      </c>
      <c r="C14" t="inlineStr">
        <is>
          <t>Iso Fusion Protein Complex 2kg</t>
        </is>
      </c>
      <c r="D14" t="inlineStr">
        <is>
          <t>2kg</t>
        </is>
      </c>
      <c r="E14" s="12">
        <f>'Synthèse prix'!H28</f>
        <v/>
      </c>
      <c r="F14" s="12">
        <f>'Synthèse prix'!I28</f>
        <v/>
      </c>
      <c r="G14" s="12">
        <f>'Synthèse prix'!J28</f>
        <v/>
      </c>
      <c r="H14" s="12">
        <f>'Synthèse prix'!N28</f>
        <v/>
      </c>
      <c r="I14" s="12">
        <f>'Synthèse prix'!S28</f>
        <v/>
      </c>
      <c r="J14" s="12">
        <f>'Synthèse prix'!T28</f>
        <v/>
      </c>
      <c r="K14" s="12">
        <f>'Synthèse prix'!U28</f>
        <v/>
      </c>
      <c r="L14" s="12">
        <f>'Synthèse prix'!V28</f>
        <v/>
      </c>
      <c r="M14" s="12">
        <f>'Synthèse prix'!Q28</f>
        <v/>
      </c>
    </row>
    <row r="15">
      <c r="A15" t="n">
        <v>15</v>
      </c>
      <c r="B15">
        <f>'Synthèse prix'!A17</f>
        <v/>
      </c>
      <c r="C15" t="inlineStr">
        <is>
          <t>Whey Native Concentrat 4kg</t>
        </is>
      </c>
      <c r="D15" t="inlineStr">
        <is>
          <t>4kg</t>
        </is>
      </c>
      <c r="E15" s="12">
        <f>'Synthèse prix'!H17</f>
        <v/>
      </c>
      <c r="F15" s="12">
        <f>'Synthèse prix'!I17</f>
        <v/>
      </c>
      <c r="G15" s="12">
        <f>'Synthèse prix'!J17</f>
        <v/>
      </c>
      <c r="H15" s="12">
        <f>'Synthèse prix'!N17</f>
        <v/>
      </c>
      <c r="I15" s="12">
        <f>'Synthèse prix'!S17</f>
        <v/>
      </c>
      <c r="J15" s="12">
        <f>'Synthèse prix'!T17</f>
        <v/>
      </c>
      <c r="K15" s="12">
        <f>'Synthèse prix'!U17</f>
        <v/>
      </c>
      <c r="L15" s="12">
        <f>'Synthèse prix'!V17</f>
        <v/>
      </c>
      <c r="M15" s="12">
        <f>'Synthèse prix'!Q17</f>
        <v/>
      </c>
    </row>
    <row r="16">
      <c r="A16" t="n">
        <v>16</v>
      </c>
      <c r="B16">
        <f>'Synthèse prix'!A31</f>
        <v/>
      </c>
      <c r="C16" t="inlineStr">
        <is>
          <t>Pure Whey Protein 750g</t>
        </is>
      </c>
      <c r="D16" t="inlineStr">
        <is>
          <t>750g</t>
        </is>
      </c>
      <c r="E16" s="12">
        <f>'Synthèse prix'!H31</f>
        <v/>
      </c>
      <c r="F16" s="12">
        <f>'Synthèse prix'!I31</f>
        <v/>
      </c>
      <c r="G16" s="12">
        <f>'Synthèse prix'!J31</f>
        <v/>
      </c>
      <c r="H16" s="12">
        <f>'Synthèse prix'!N31</f>
        <v/>
      </c>
      <c r="I16" s="12">
        <f>'Synthèse prix'!S31</f>
        <v/>
      </c>
      <c r="J16" s="12">
        <f>'Synthèse prix'!T31</f>
        <v/>
      </c>
      <c r="K16" s="12">
        <f>'Synthèse prix'!U31</f>
        <v/>
      </c>
      <c r="L16" s="12">
        <f>'Synthèse prix'!V31</f>
        <v/>
      </c>
      <c r="M16" s="12">
        <f>'Synthèse prix'!Q31</f>
        <v/>
      </c>
    </row>
    <row r="17">
      <c r="A17" t="n">
        <v>18</v>
      </c>
      <c r="B17">
        <f>'Synthèse prix'!A16</f>
        <v/>
      </c>
      <c r="C17" t="inlineStr">
        <is>
          <t>Whey Native Concentrat 2,25kg</t>
        </is>
      </c>
      <c r="D17" t="inlineStr">
        <is>
          <t>2.25kg</t>
        </is>
      </c>
      <c r="E17" s="12">
        <f>'Synthèse prix'!H16</f>
        <v/>
      </c>
      <c r="F17" s="12">
        <f>'Synthèse prix'!I16</f>
        <v/>
      </c>
      <c r="G17" s="12">
        <f>'Synthèse prix'!J16</f>
        <v/>
      </c>
      <c r="H17" s="12">
        <f>'Synthèse prix'!N16</f>
        <v/>
      </c>
      <c r="I17" s="12">
        <f>'Synthèse prix'!S16</f>
        <v/>
      </c>
      <c r="J17" s="12">
        <f>'Synthèse prix'!T16</f>
        <v/>
      </c>
      <c r="K17" s="12">
        <f>'Synthèse prix'!U16</f>
        <v/>
      </c>
      <c r="L17" s="12">
        <f>'Synthèse prix'!V16</f>
        <v/>
      </c>
      <c r="M17" s="12">
        <f>'Synthèse prix'!Q16</f>
        <v/>
      </c>
    </row>
    <row r="18">
      <c r="A18" t="n">
        <v>19</v>
      </c>
      <c r="B18">
        <f>'Synthèse prix'!A33</f>
        <v/>
      </c>
      <c r="C18" t="inlineStr">
        <is>
          <t>Pure Whey Protein 850g</t>
        </is>
      </c>
      <c r="D18" t="inlineStr">
        <is>
          <t>850g</t>
        </is>
      </c>
      <c r="E18" s="12">
        <f>'Synthèse prix'!H33</f>
        <v/>
      </c>
      <c r="F18" s="12">
        <f>'Synthèse prix'!I33</f>
        <v/>
      </c>
      <c r="G18" s="12">
        <f>'Synthèse prix'!J33</f>
        <v/>
      </c>
      <c r="H18" s="12">
        <f>'Synthèse prix'!N33</f>
        <v/>
      </c>
      <c r="I18" s="12">
        <f>'Synthèse prix'!S33</f>
        <v/>
      </c>
      <c r="J18" s="12">
        <f>'Synthèse prix'!T33</f>
        <v/>
      </c>
      <c r="K18" s="12">
        <f>'Synthèse prix'!U33</f>
        <v/>
      </c>
      <c r="L18" s="12">
        <f>'Synthèse prix'!V33</f>
        <v/>
      </c>
      <c r="M18" s="12">
        <f>'Synthèse prix'!Q33</f>
        <v/>
      </c>
    </row>
    <row r="19">
      <c r="A19" t="n">
        <v>20</v>
      </c>
      <c r="B19">
        <f>'Synthèse prix'!A46</f>
        <v/>
      </c>
      <c r="C19" t="inlineStr">
        <is>
          <t>Clear Whey Isolate 875g</t>
        </is>
      </c>
      <c r="D19" t="inlineStr">
        <is>
          <t>875g</t>
        </is>
      </c>
      <c r="E19" s="12">
        <f>'Synthèse prix'!H46</f>
        <v/>
      </c>
      <c r="F19" s="12">
        <f>'Synthèse prix'!I46</f>
        <v/>
      </c>
      <c r="G19" s="12">
        <f>'Synthèse prix'!J46</f>
        <v/>
      </c>
      <c r="H19" s="12">
        <f>'Synthèse prix'!N46</f>
        <v/>
      </c>
      <c r="I19" s="12">
        <f>'Synthèse prix'!S46</f>
        <v/>
      </c>
      <c r="J19" s="12">
        <f>'Synthèse prix'!T46</f>
        <v/>
      </c>
      <c r="K19" s="12">
        <f>'Synthèse prix'!U46</f>
        <v/>
      </c>
      <c r="L19" s="12">
        <f>'Synthèse prix'!V46</f>
        <v/>
      </c>
      <c r="M19" s="12">
        <f>'Synthèse prix'!Q46</f>
        <v/>
      </c>
    </row>
    <row r="20">
      <c r="A20" t="n">
        <v>22</v>
      </c>
      <c r="B20">
        <f>'Synthèse prix'!A15</f>
        <v/>
      </c>
      <c r="C20" t="inlineStr">
        <is>
          <t>Whey Native Concentrat</t>
        </is>
      </c>
      <c r="D20" t="inlineStr">
        <is>
          <t>1kg</t>
        </is>
      </c>
      <c r="E20" s="12">
        <f>'Synthèse prix'!H15</f>
        <v/>
      </c>
      <c r="F20" s="12">
        <f>'Synthèse prix'!I15</f>
        <v/>
      </c>
      <c r="G20" s="12">
        <f>'Synthèse prix'!J15</f>
        <v/>
      </c>
      <c r="H20" s="12">
        <f>'Synthèse prix'!N15</f>
        <v/>
      </c>
      <c r="I20" s="12">
        <f>'Synthèse prix'!S15</f>
        <v/>
      </c>
      <c r="J20" s="12">
        <f>'Synthèse prix'!T15</f>
        <v/>
      </c>
      <c r="K20" s="12">
        <f>'Synthèse prix'!U15</f>
        <v/>
      </c>
      <c r="L20" s="12">
        <f>'Synthèse prix'!V15</f>
        <v/>
      </c>
      <c r="M20" s="12">
        <f>'Synthèse prix'!Q15</f>
        <v/>
      </c>
    </row>
    <row r="21">
      <c r="A21" t="n">
        <v>23</v>
      </c>
      <c r="B21">
        <f>'Synthèse prix'!A40</f>
        <v/>
      </c>
      <c r="C21" t="inlineStr">
        <is>
          <t>Clear Whey Isolate 500g</t>
        </is>
      </c>
      <c r="D21" t="inlineStr">
        <is>
          <t>500g</t>
        </is>
      </c>
      <c r="E21" s="12">
        <f>'Synthèse prix'!H40</f>
        <v/>
      </c>
      <c r="F21" s="12">
        <f>'Synthèse prix'!I40</f>
        <v/>
      </c>
      <c r="G21" s="12">
        <f>'Synthèse prix'!J40</f>
        <v/>
      </c>
      <c r="H21" s="12">
        <f>'Synthèse prix'!N40</f>
        <v/>
      </c>
      <c r="I21" s="12">
        <f>'Synthèse prix'!S40</f>
        <v/>
      </c>
      <c r="J21" s="12">
        <f>'Synthèse prix'!T40</f>
        <v/>
      </c>
      <c r="K21" s="12">
        <f>'Synthèse prix'!U40</f>
        <v/>
      </c>
      <c r="L21" s="12">
        <f>'Synthèse prix'!V40</f>
        <v/>
      </c>
      <c r="M21" s="12">
        <f>'Synthèse prix'!Q40</f>
        <v/>
      </c>
    </row>
    <row r="22">
      <c r="A22" t="n">
        <v>26</v>
      </c>
      <c r="B22">
        <f>'Synthèse prix'!A14</f>
        <v/>
      </c>
      <c r="C22" t="inlineStr">
        <is>
          <t>Whey Native Concentrat 500g</t>
        </is>
      </c>
      <c r="D22" t="inlineStr">
        <is>
          <t>500g</t>
        </is>
      </c>
      <c r="E22" s="12">
        <f>'Synthèse prix'!H14</f>
        <v/>
      </c>
      <c r="F22" s="12">
        <f>'Synthèse prix'!I14</f>
        <v/>
      </c>
      <c r="G22" s="12">
        <f>'Synthèse prix'!J14</f>
        <v/>
      </c>
      <c r="H22" s="12">
        <f>'Synthèse prix'!N14</f>
        <v/>
      </c>
      <c r="I22" s="12">
        <f>'Synthèse prix'!S14</f>
        <v/>
      </c>
      <c r="J22" s="12">
        <f>'Synthèse prix'!T14</f>
        <v/>
      </c>
      <c r="K22" s="12">
        <f>'Synthèse prix'!U14</f>
        <v/>
      </c>
      <c r="L22" s="12">
        <f>'Synthèse prix'!V14</f>
        <v/>
      </c>
      <c r="M22" s="12">
        <f>'Synthèse prix'!Q14</f>
        <v/>
      </c>
    </row>
    <row r="23">
      <c r="A23" t="n">
        <v>28</v>
      </c>
      <c r="B23">
        <f>'Synthèse prix'!A25</f>
        <v/>
      </c>
      <c r="C23" t="inlineStr">
        <is>
          <t>Whey Optimax Protein 1,5kg</t>
        </is>
      </c>
      <c r="D23" t="inlineStr">
        <is>
          <t>1.5kg</t>
        </is>
      </c>
      <c r="E23" s="12">
        <f>'Synthèse prix'!H25</f>
        <v/>
      </c>
      <c r="F23" s="12">
        <f>'Synthèse prix'!I25</f>
        <v/>
      </c>
      <c r="G23" s="12">
        <f>'Synthèse prix'!J25</f>
        <v/>
      </c>
      <c r="H23" s="12">
        <f>'Synthèse prix'!N25</f>
        <v/>
      </c>
      <c r="I23" s="12">
        <f>'Synthèse prix'!S25</f>
        <v/>
      </c>
      <c r="J23" s="12">
        <f>'Synthèse prix'!T25</f>
        <v/>
      </c>
      <c r="K23" s="12">
        <f>'Synthèse prix'!U25</f>
        <v/>
      </c>
      <c r="L23" s="12">
        <f>'Synthèse prix'!V25</f>
        <v/>
      </c>
      <c r="M23" s="12">
        <f>'Synthèse prix'!Q25</f>
        <v/>
      </c>
    </row>
    <row r="24">
      <c r="A24" t="n">
        <v>30</v>
      </c>
      <c r="B24">
        <f>'Synthèse prix'!A29</f>
        <v/>
      </c>
      <c r="C24" t="inlineStr">
        <is>
          <t>Pure Isolate 750g</t>
        </is>
      </c>
      <c r="D24" t="inlineStr">
        <is>
          <t>750g</t>
        </is>
      </c>
      <c r="E24" s="12">
        <f>'Synthèse prix'!H29</f>
        <v/>
      </c>
      <c r="F24" s="12">
        <f>'Synthèse prix'!I29</f>
        <v/>
      </c>
      <c r="G24" s="12">
        <f>'Synthèse prix'!J29</f>
        <v/>
      </c>
      <c r="H24" s="12">
        <f>'Synthèse prix'!N29</f>
        <v/>
      </c>
      <c r="I24" s="12">
        <f>'Synthèse prix'!S29</f>
        <v/>
      </c>
      <c r="J24" s="12">
        <f>'Synthèse prix'!T29</f>
        <v/>
      </c>
      <c r="K24" s="12">
        <f>'Synthèse prix'!U29</f>
        <v/>
      </c>
      <c r="L24" s="12">
        <f>'Synthèse prix'!V29</f>
        <v/>
      </c>
      <c r="M24" s="12">
        <f>'Synthèse prix'!Q29</f>
        <v/>
      </c>
    </row>
    <row r="25">
      <c r="A25" t="n">
        <v>31</v>
      </c>
      <c r="B25">
        <f>'Synthèse prix'!A26</f>
        <v/>
      </c>
      <c r="C25" t="inlineStr">
        <is>
          <t>Whey Zero Protéine 2kg</t>
        </is>
      </c>
      <c r="D25" t="inlineStr">
        <is>
          <t>2kg</t>
        </is>
      </c>
      <c r="E25" s="12">
        <f>'Synthèse prix'!H26</f>
        <v/>
      </c>
      <c r="F25" s="12">
        <f>'Synthèse prix'!I26</f>
        <v/>
      </c>
      <c r="G25" s="12">
        <f>'Synthèse prix'!J26</f>
        <v/>
      </c>
      <c r="H25" s="12">
        <f>'Synthèse prix'!N26</f>
        <v/>
      </c>
      <c r="I25" s="12">
        <f>'Synthèse prix'!S26</f>
        <v/>
      </c>
      <c r="J25" s="12">
        <f>'Synthèse prix'!T26</f>
        <v/>
      </c>
      <c r="K25" s="12">
        <f>'Synthèse prix'!U26</f>
        <v/>
      </c>
      <c r="L25" s="12">
        <f>'Synthèse prix'!V26</f>
        <v/>
      </c>
      <c r="M25" s="12">
        <f>'Synthèse prix'!Q26</f>
        <v/>
      </c>
    </row>
    <row r="26">
      <c r="A26" s="20" t="n">
        <v>32</v>
      </c>
      <c r="B26" s="20">
        <f>'Synthèse prix'!A4</f>
        <v/>
      </c>
      <c r="C26" s="20" t="inlineStr">
        <is>
          <t>Whey Isolate</t>
        </is>
      </c>
      <c r="D26" s="20" t="inlineStr">
        <is>
          <t>750g</t>
        </is>
      </c>
      <c r="E26" s="20">
        <f>'Synthèse prix'!H4</f>
        <v/>
      </c>
      <c r="F26" s="20">
        <f>'Synthèse prix'!I4</f>
        <v/>
      </c>
      <c r="G26" s="20">
        <f>'Synthèse prix'!J4</f>
        <v/>
      </c>
      <c r="H26" s="20">
        <f>'Synthèse prix'!N4</f>
        <v/>
      </c>
      <c r="I26" s="20">
        <f>'Synthèse prix'!S4</f>
        <v/>
      </c>
      <c r="J26" s="20">
        <f>'Synthèse prix'!T4</f>
        <v/>
      </c>
      <c r="K26" s="20">
        <f>'Synthèse prix'!U4</f>
        <v/>
      </c>
      <c r="L26" s="20">
        <f>'Synthèse prix'!V4</f>
        <v/>
      </c>
      <c r="M26" s="20">
        <f>'Synthèse prix'!Q4</f>
        <v/>
      </c>
    </row>
    <row r="27">
      <c r="A27" t="n">
        <v>34</v>
      </c>
      <c r="B27">
        <f>'Synthèse prix'!A32</f>
        <v/>
      </c>
      <c r="C27" t="inlineStr">
        <is>
          <t>Mega Whey Creatine Complex 750g</t>
        </is>
      </c>
      <c r="D27" t="inlineStr">
        <is>
          <t>750g</t>
        </is>
      </c>
      <c r="E27" s="12">
        <f>'Synthèse prix'!H32</f>
        <v/>
      </c>
      <c r="F27" s="12">
        <f>'Synthèse prix'!I32</f>
        <v/>
      </c>
      <c r="G27" s="12">
        <f>'Synthèse prix'!J32</f>
        <v/>
      </c>
      <c r="H27" s="12">
        <f>'Synthèse prix'!N32</f>
        <v/>
      </c>
      <c r="I27" s="12">
        <f>'Synthèse prix'!S32</f>
        <v/>
      </c>
      <c r="J27" s="12">
        <f>'Synthèse prix'!T32</f>
        <v/>
      </c>
      <c r="K27" s="12">
        <f>'Synthèse prix'!U32</f>
        <v/>
      </c>
      <c r="L27" s="12">
        <f>'Synthèse prix'!V32</f>
        <v/>
      </c>
      <c r="M27" s="12">
        <f>'Synthèse prix'!Q32</f>
        <v/>
      </c>
    </row>
    <row r="28">
      <c r="A28" t="n">
        <v>35</v>
      </c>
      <c r="B28">
        <f>'Synthèse prix'!A13</f>
        <v/>
      </c>
      <c r="C28" t="inlineStr">
        <is>
          <t>Whey Native Isolate 4kg</t>
        </is>
      </c>
      <c r="D28" t="inlineStr">
        <is>
          <t>4kg</t>
        </is>
      </c>
      <c r="E28" s="12">
        <f>'Synthèse prix'!H13</f>
        <v/>
      </c>
      <c r="F28" s="12">
        <f>'Synthèse prix'!I13</f>
        <v/>
      </c>
      <c r="G28" s="12">
        <f>'Synthèse prix'!J13</f>
        <v/>
      </c>
      <c r="H28" s="12">
        <f>'Synthèse prix'!N13</f>
        <v/>
      </c>
      <c r="I28" s="12">
        <f>'Synthèse prix'!S13</f>
        <v/>
      </c>
      <c r="J28" s="12">
        <f>'Synthèse prix'!T13</f>
        <v/>
      </c>
      <c r="K28" s="12">
        <f>'Synthèse prix'!U13</f>
        <v/>
      </c>
      <c r="L28" s="12">
        <f>'Synthèse prix'!V13</f>
        <v/>
      </c>
      <c r="M28" s="12">
        <f>'Synthèse prix'!Q13</f>
        <v/>
      </c>
    </row>
    <row r="29">
      <c r="A29" t="n">
        <v>36</v>
      </c>
      <c r="B29">
        <f>'Synthèse prix'!A23</f>
        <v/>
      </c>
      <c r="C29" t="inlineStr">
        <is>
          <t>Iso Zero 100% Whey Protéine 2kg</t>
        </is>
      </c>
      <c r="D29" t="inlineStr">
        <is>
          <t>2kg</t>
        </is>
      </c>
      <c r="E29" s="12">
        <f>'Synthèse prix'!H23</f>
        <v/>
      </c>
      <c r="F29" s="12">
        <f>'Synthèse prix'!I23</f>
        <v/>
      </c>
      <c r="G29" s="12">
        <f>'Synthèse prix'!J23</f>
        <v/>
      </c>
      <c r="H29" s="12">
        <f>'Synthèse prix'!N23</f>
        <v/>
      </c>
      <c r="I29" s="12">
        <f>'Synthèse prix'!S23</f>
        <v/>
      </c>
      <c r="J29" s="12">
        <f>'Synthèse prix'!T23</f>
        <v/>
      </c>
      <c r="K29" s="12">
        <f>'Synthèse prix'!U23</f>
        <v/>
      </c>
      <c r="L29" s="12">
        <f>'Synthèse prix'!V23</f>
        <v/>
      </c>
      <c r="M29" s="12">
        <f>'Synthèse prix'!Q23</f>
        <v/>
      </c>
    </row>
    <row r="30">
      <c r="A30" t="n">
        <v>37</v>
      </c>
      <c r="B30">
        <f>'Synthèse prix'!A30</f>
        <v/>
      </c>
      <c r="C30" t="inlineStr">
        <is>
          <t>Pure Isolate Premium 750g</t>
        </is>
      </c>
      <c r="D30" t="inlineStr">
        <is>
          <t>750g</t>
        </is>
      </c>
      <c r="E30" s="12">
        <f>'Synthèse prix'!H30</f>
        <v/>
      </c>
      <c r="F30" s="12">
        <f>'Synthèse prix'!I30</f>
        <v/>
      </c>
      <c r="G30" s="12">
        <f>'Synthèse prix'!J30</f>
        <v/>
      </c>
      <c r="H30" s="12">
        <f>'Synthèse prix'!N30</f>
        <v/>
      </c>
      <c r="I30" s="12">
        <f>'Synthèse prix'!S30</f>
        <v/>
      </c>
      <c r="J30" s="12">
        <f>'Synthèse prix'!T30</f>
        <v/>
      </c>
      <c r="K30" s="12">
        <f>'Synthèse prix'!U30</f>
        <v/>
      </c>
      <c r="L30" s="12">
        <f>'Synthèse prix'!V30</f>
        <v/>
      </c>
      <c r="M30" s="12">
        <f>'Synthèse prix'!Q30</f>
        <v/>
      </c>
    </row>
    <row r="31">
      <c r="A31" t="n">
        <v>39</v>
      </c>
      <c r="B31">
        <f>'Synthèse prix'!A20</f>
        <v/>
      </c>
      <c r="C31" t="inlineStr">
        <is>
          <t>Whey Native 810g</t>
        </is>
      </c>
      <c r="D31" t="inlineStr">
        <is>
          <t>810g</t>
        </is>
      </c>
      <c r="E31" s="12">
        <f>'Synthèse prix'!H20</f>
        <v/>
      </c>
      <c r="F31" s="12">
        <f>'Synthèse prix'!I20</f>
        <v/>
      </c>
      <c r="G31" s="12">
        <f>'Synthèse prix'!J20</f>
        <v/>
      </c>
      <c r="H31" s="12">
        <f>'Synthèse prix'!N20</f>
        <v/>
      </c>
      <c r="I31" s="12">
        <f>'Synthèse prix'!S20</f>
        <v/>
      </c>
      <c r="J31" s="12">
        <f>'Synthèse prix'!T20</f>
        <v/>
      </c>
      <c r="K31" s="12">
        <f>'Synthèse prix'!U20</f>
        <v/>
      </c>
      <c r="L31" s="12">
        <f>'Synthèse prix'!V20</f>
        <v/>
      </c>
      <c r="M31" s="12">
        <f>'Synthèse prix'!Q20</f>
        <v/>
      </c>
    </row>
    <row r="32">
      <c r="A32" s="20" t="n">
        <v>40</v>
      </c>
      <c r="B32" s="20">
        <f>'Synthèse prix'!A2</f>
        <v/>
      </c>
      <c r="C32" s="20" t="inlineStr">
        <is>
          <t>Whey Isolate</t>
        </is>
      </c>
      <c r="D32" s="20" t="inlineStr">
        <is>
          <t>750g</t>
        </is>
      </c>
      <c r="E32" s="20">
        <f>'Synthèse prix'!H2</f>
        <v/>
      </c>
      <c r="F32" s="20">
        <f>'Synthèse prix'!I2</f>
        <v/>
      </c>
      <c r="G32" s="20">
        <f>'Synthèse prix'!J2</f>
        <v/>
      </c>
      <c r="H32" s="20">
        <f>'Synthèse prix'!N2</f>
        <v/>
      </c>
      <c r="I32" s="20">
        <f>'Synthèse prix'!S2</f>
        <v/>
      </c>
      <c r="J32" s="20">
        <f>'Synthèse prix'!T2</f>
        <v/>
      </c>
      <c r="K32" s="20">
        <f>'Synthèse prix'!U2</f>
        <v/>
      </c>
      <c r="L32" s="20">
        <f>'Synthèse prix'!V2</f>
        <v/>
      </c>
      <c r="M32" s="20">
        <f>'Synthèse prix'!Q2</f>
        <v/>
      </c>
    </row>
    <row r="33">
      <c r="A33" s="20" t="n">
        <v>41</v>
      </c>
      <c r="B33" s="20">
        <f>'Synthèse prix'!A3</f>
        <v/>
      </c>
      <c r="C33" s="20" t="inlineStr">
        <is>
          <t>Whey Isolate</t>
        </is>
      </c>
      <c r="D33" s="20" t="inlineStr">
        <is>
          <t>750g</t>
        </is>
      </c>
      <c r="E33" s="20">
        <f>'Synthèse prix'!H3</f>
        <v/>
      </c>
      <c r="F33" s="20">
        <f>'Synthèse prix'!I3</f>
        <v/>
      </c>
      <c r="G33" s="20">
        <f>'Synthèse prix'!J3</f>
        <v/>
      </c>
      <c r="H33" s="20">
        <f>'Synthèse prix'!N3</f>
        <v/>
      </c>
      <c r="I33" s="20">
        <f>'Synthèse prix'!S3</f>
        <v/>
      </c>
      <c r="J33" s="20">
        <f>'Synthèse prix'!T3</f>
        <v/>
      </c>
      <c r="K33" s="20">
        <f>'Synthèse prix'!U3</f>
        <v/>
      </c>
      <c r="L33" s="20">
        <f>'Synthèse prix'!V3</f>
        <v/>
      </c>
      <c r="M33" s="20">
        <f>'Synthèse prix'!Q3</f>
        <v/>
      </c>
    </row>
    <row r="34">
      <c r="A34" t="n">
        <v>43</v>
      </c>
      <c r="B34">
        <f>'Synthèse prix'!A9</f>
        <v/>
      </c>
      <c r="C34" t="inlineStr">
        <is>
          <t>Whey Isolat Native 4kg</t>
        </is>
      </c>
      <c r="D34" t="inlineStr">
        <is>
          <t>4kg</t>
        </is>
      </c>
      <c r="E34" s="12">
        <f>'Synthèse prix'!H9</f>
        <v/>
      </c>
      <c r="F34" s="12">
        <f>'Synthèse prix'!I9</f>
        <v/>
      </c>
      <c r="G34" s="12">
        <f>'Synthèse prix'!J9</f>
        <v/>
      </c>
      <c r="H34" s="12">
        <f>'Synthèse prix'!N9</f>
        <v/>
      </c>
      <c r="I34" s="12">
        <f>'Synthèse prix'!S9</f>
        <v/>
      </c>
      <c r="J34" s="12">
        <f>'Synthèse prix'!T9</f>
        <v/>
      </c>
      <c r="K34" s="12">
        <f>'Synthèse prix'!U9</f>
        <v/>
      </c>
      <c r="L34" s="12">
        <f>'Synthèse prix'!V9</f>
        <v/>
      </c>
      <c r="M34" s="12">
        <f>'Synthèse prix'!Q9</f>
        <v/>
      </c>
    </row>
    <row r="35">
      <c r="A35" t="n">
        <v>44</v>
      </c>
      <c r="B35">
        <f>'Synthèse prix'!A19</f>
        <v/>
      </c>
      <c r="C35" t="inlineStr">
        <is>
          <t>Whey Concentrée Native 900g</t>
        </is>
      </c>
      <c r="D35" t="inlineStr">
        <is>
          <t>900g</t>
        </is>
      </c>
      <c r="E35" s="12">
        <f>'Synthèse prix'!H19</f>
        <v/>
      </c>
      <c r="F35" s="12">
        <f>'Synthèse prix'!I19</f>
        <v/>
      </c>
      <c r="G35" s="12">
        <f>'Synthèse prix'!J19</f>
        <v/>
      </c>
      <c r="H35" s="12">
        <f>'Synthèse prix'!N19</f>
        <v/>
      </c>
      <c r="I35" s="12">
        <f>'Synthèse prix'!S19</f>
        <v/>
      </c>
      <c r="J35" s="12">
        <f>'Synthèse prix'!T19</f>
        <v/>
      </c>
      <c r="K35" s="12">
        <f>'Synthèse prix'!U19</f>
        <v/>
      </c>
      <c r="L35" s="12">
        <f>'Synthèse prix'!V19</f>
        <v/>
      </c>
      <c r="M35" s="12">
        <f>'Synthèse prix'!Q19</f>
        <v/>
      </c>
    </row>
    <row r="36">
      <c r="A36" t="n">
        <v>45</v>
      </c>
      <c r="B36">
        <f>'Synthèse prix'!A51</f>
        <v/>
      </c>
      <c r="C36" t="inlineStr">
        <is>
          <t>100% Pure Whey 2000g</t>
        </is>
      </c>
      <c r="D36" t="inlineStr">
        <is>
          <t>2kg</t>
        </is>
      </c>
      <c r="E36" s="12">
        <f>'Synthèse prix'!H51</f>
        <v/>
      </c>
      <c r="F36" s="12">
        <f>'Synthèse prix'!I51</f>
        <v/>
      </c>
      <c r="G36" s="12">
        <f>'Synthèse prix'!J51</f>
        <v/>
      </c>
      <c r="H36" s="12">
        <f>'Synthèse prix'!N51</f>
        <v/>
      </c>
      <c r="I36" s="12">
        <f>'Synthèse prix'!S51</f>
        <v/>
      </c>
      <c r="J36" s="12">
        <f>'Synthèse prix'!T51</f>
        <v/>
      </c>
      <c r="K36" s="12">
        <f>'Synthèse prix'!U51</f>
        <v/>
      </c>
      <c r="L36" s="12">
        <f>'Synthèse prix'!V51</f>
        <v/>
      </c>
      <c r="M36" s="12">
        <f>'Synthèse prix'!Q51</f>
        <v/>
      </c>
    </row>
    <row r="37">
      <c r="A37" t="n">
        <v>46</v>
      </c>
      <c r="B37">
        <f>'Synthèse prix'!A12</f>
        <v/>
      </c>
      <c r="C37" t="inlineStr">
        <is>
          <t>Whey Native Isolate 2,25kg</t>
        </is>
      </c>
      <c r="D37" t="inlineStr">
        <is>
          <t>2.25kg</t>
        </is>
      </c>
      <c r="E37" s="12">
        <f>'Synthèse prix'!H12</f>
        <v/>
      </c>
      <c r="F37" s="12">
        <f>'Synthèse prix'!I12</f>
        <v/>
      </c>
      <c r="G37" s="12">
        <f>'Synthèse prix'!J12</f>
        <v/>
      </c>
      <c r="H37" s="12">
        <f>'Synthèse prix'!N12</f>
        <v/>
      </c>
      <c r="I37" s="12">
        <f>'Synthèse prix'!S12</f>
        <v/>
      </c>
      <c r="J37" s="12">
        <f>'Synthèse prix'!T12</f>
        <v/>
      </c>
      <c r="K37" s="12">
        <f>'Synthèse prix'!U12</f>
        <v/>
      </c>
      <c r="L37" s="12">
        <f>'Synthèse prix'!V12</f>
        <v/>
      </c>
      <c r="M37" s="12">
        <f>'Synthèse prix'!Q12</f>
        <v/>
      </c>
    </row>
    <row r="38">
      <c r="A38" t="n">
        <v>49</v>
      </c>
      <c r="B38">
        <f>'Synthèse prix'!A22</f>
        <v/>
      </c>
      <c r="C38" t="inlineStr">
        <is>
          <t>Iso Zero 100% Whey Protéine 1,5kg</t>
        </is>
      </c>
      <c r="D38" t="inlineStr">
        <is>
          <t>1.5kg</t>
        </is>
      </c>
      <c r="E38" s="12">
        <f>'Synthèse prix'!H22</f>
        <v/>
      </c>
      <c r="F38" s="12">
        <f>'Synthèse prix'!I22</f>
        <v/>
      </c>
      <c r="G38" s="12">
        <f>'Synthèse prix'!J22</f>
        <v/>
      </c>
      <c r="H38" s="12">
        <f>'Synthèse prix'!N22</f>
        <v/>
      </c>
      <c r="I38" s="12">
        <f>'Synthèse prix'!S22</f>
        <v/>
      </c>
      <c r="J38" s="12">
        <f>'Synthèse prix'!T22</f>
        <v/>
      </c>
      <c r="K38" s="12">
        <f>'Synthèse prix'!U22</f>
        <v/>
      </c>
      <c r="L38" s="12">
        <f>'Synthèse prix'!V22</f>
        <v/>
      </c>
      <c r="M38" s="12">
        <f>'Synthèse prix'!Q22</f>
        <v/>
      </c>
    </row>
    <row r="39">
      <c r="A39" t="n">
        <v>50</v>
      </c>
      <c r="B39">
        <f>'Synthèse prix'!A18</f>
        <v/>
      </c>
      <c r="C39" t="inlineStr">
        <is>
          <t>Whey Isolate Native 900g</t>
        </is>
      </c>
      <c r="D39" t="inlineStr">
        <is>
          <t>900g</t>
        </is>
      </c>
      <c r="E39" s="12">
        <f>'Synthèse prix'!H18</f>
        <v/>
      </c>
      <c r="F39" s="12">
        <f>'Synthèse prix'!I18</f>
        <v/>
      </c>
      <c r="G39" s="12">
        <f>'Synthèse prix'!J18</f>
        <v/>
      </c>
      <c r="H39" s="12">
        <f>'Synthèse prix'!N18</f>
        <v/>
      </c>
      <c r="I39" s="12">
        <f>'Synthèse prix'!S18</f>
        <v/>
      </c>
      <c r="J39" s="12">
        <f>'Synthèse prix'!T18</f>
        <v/>
      </c>
      <c r="K39" s="12">
        <f>'Synthèse prix'!U18</f>
        <v/>
      </c>
      <c r="L39" s="12">
        <f>'Synthèse prix'!V18</f>
        <v/>
      </c>
      <c r="M39" s="12">
        <f>'Synthèse prix'!Q18</f>
        <v/>
      </c>
    </row>
    <row r="40">
      <c r="A40" t="n">
        <v>51</v>
      </c>
      <c r="B40">
        <f>'Synthèse prix'!A48</f>
        <v/>
      </c>
      <c r="C40" t="inlineStr">
        <is>
          <t>Iso Whey Zero 1816g</t>
        </is>
      </c>
      <c r="D40" t="inlineStr">
        <is>
          <t>1.816kg</t>
        </is>
      </c>
      <c r="E40" s="12">
        <f>'Synthèse prix'!H48</f>
        <v/>
      </c>
      <c r="F40" s="12">
        <f>'Synthèse prix'!I48</f>
        <v/>
      </c>
      <c r="G40" s="12">
        <f>'Synthèse prix'!J48</f>
        <v/>
      </c>
      <c r="H40" s="12">
        <f>'Synthèse prix'!N48</f>
        <v/>
      </c>
      <c r="I40" s="12">
        <f>'Synthèse prix'!S48</f>
        <v/>
      </c>
      <c r="J40" s="12">
        <f>'Synthèse prix'!T48</f>
        <v/>
      </c>
      <c r="K40" s="12">
        <f>'Synthèse prix'!U48</f>
        <v/>
      </c>
      <c r="L40" s="12">
        <f>'Synthèse prix'!V48</f>
        <v/>
      </c>
      <c r="M40" s="12">
        <f>'Synthèse prix'!Q48</f>
        <v/>
      </c>
    </row>
    <row r="41">
      <c r="A41" t="n">
        <v>52</v>
      </c>
      <c r="B41">
        <f>'Synthèse prix'!A27</f>
        <v/>
      </c>
      <c r="C41" t="inlineStr">
        <is>
          <t>Iso Fusion Protein Complex 750g</t>
        </is>
      </c>
      <c r="D41" t="inlineStr">
        <is>
          <t>750g</t>
        </is>
      </c>
      <c r="E41" s="12">
        <f>'Synthèse prix'!H27</f>
        <v/>
      </c>
      <c r="F41" s="12">
        <f>'Synthèse prix'!I27</f>
        <v/>
      </c>
      <c r="G41" s="12">
        <f>'Synthèse prix'!J27</f>
        <v/>
      </c>
      <c r="H41" s="12">
        <f>'Synthèse prix'!N27</f>
        <v/>
      </c>
      <c r="I41" s="12">
        <f>'Synthèse prix'!S27</f>
        <v/>
      </c>
      <c r="J41" s="12">
        <f>'Synthèse prix'!T27</f>
        <v/>
      </c>
      <c r="K41" s="12">
        <f>'Synthèse prix'!U27</f>
        <v/>
      </c>
      <c r="L41" s="12">
        <f>'Synthèse prix'!V27</f>
        <v/>
      </c>
      <c r="M41" s="12">
        <f>'Synthèse prix'!Q27</f>
        <v/>
      </c>
    </row>
    <row r="42">
      <c r="A42" t="n">
        <v>53</v>
      </c>
      <c r="B42">
        <f>'Synthèse prix'!A8</f>
        <v/>
      </c>
      <c r="C42" t="inlineStr">
        <is>
          <t>Whey Isolat Native 2kg</t>
        </is>
      </c>
      <c r="D42" t="inlineStr">
        <is>
          <t>2kg</t>
        </is>
      </c>
      <c r="E42" s="12">
        <f>'Synthèse prix'!H8</f>
        <v/>
      </c>
      <c r="F42" s="12">
        <f>'Synthèse prix'!I8</f>
        <v/>
      </c>
      <c r="G42" s="12">
        <f>'Synthèse prix'!J8</f>
        <v/>
      </c>
      <c r="H42" s="12">
        <f>'Synthèse prix'!N8</f>
        <v/>
      </c>
      <c r="I42" s="12">
        <f>'Synthèse prix'!S8</f>
        <v/>
      </c>
      <c r="J42" s="12">
        <f>'Synthèse prix'!T8</f>
        <v/>
      </c>
      <c r="K42" s="12">
        <f>'Synthèse prix'!U8</f>
        <v/>
      </c>
      <c r="L42" s="12">
        <f>'Synthèse prix'!V8</f>
        <v/>
      </c>
      <c r="M42" s="12">
        <f>'Synthèse prix'!Q8</f>
        <v/>
      </c>
    </row>
    <row r="43">
      <c r="A43" t="n">
        <v>54</v>
      </c>
      <c r="B43">
        <f>'Synthèse prix'!A7</f>
        <v/>
      </c>
      <c r="C43" t="inlineStr">
        <is>
          <t>Whey Isolat Native 750g</t>
        </is>
      </c>
      <c r="D43" t="inlineStr">
        <is>
          <t>750g</t>
        </is>
      </c>
      <c r="E43" s="12">
        <f>'Synthèse prix'!H7</f>
        <v/>
      </c>
      <c r="F43" s="12">
        <f>'Synthèse prix'!I7</f>
        <v/>
      </c>
      <c r="G43" s="12">
        <f>'Synthèse prix'!J7</f>
        <v/>
      </c>
      <c r="H43" s="12">
        <f>'Synthèse prix'!N7</f>
        <v/>
      </c>
      <c r="I43" s="12">
        <f>'Synthèse prix'!S7</f>
        <v/>
      </c>
      <c r="J43" s="12">
        <f>'Synthèse prix'!T7</f>
        <v/>
      </c>
      <c r="K43" s="12">
        <f>'Synthèse prix'!U7</f>
        <v/>
      </c>
      <c r="L43" s="12">
        <f>'Synthèse prix'!V7</f>
        <v/>
      </c>
      <c r="M43" s="12">
        <f>'Synthèse prix'!Q7</f>
        <v/>
      </c>
    </row>
    <row r="44">
      <c r="A44" t="n">
        <v>55</v>
      </c>
      <c r="B44">
        <f>'Synthèse prix'!A11</f>
        <v/>
      </c>
      <c r="C44" t="inlineStr">
        <is>
          <t>Whey Native Isolate</t>
        </is>
      </c>
      <c r="D44" t="inlineStr">
        <is>
          <t>1kg</t>
        </is>
      </c>
      <c r="E44" s="12">
        <f>'Synthèse prix'!H11</f>
        <v/>
      </c>
      <c r="F44" s="12">
        <f>'Synthèse prix'!I11</f>
        <v/>
      </c>
      <c r="G44" s="12">
        <f>'Synthèse prix'!J11</f>
        <v/>
      </c>
      <c r="H44" s="12">
        <f>'Synthèse prix'!N11</f>
        <v/>
      </c>
      <c r="I44" s="12">
        <f>'Synthèse prix'!S11</f>
        <v/>
      </c>
      <c r="J44" s="12">
        <f>'Synthèse prix'!T11</f>
        <v/>
      </c>
      <c r="K44" s="12">
        <f>'Synthèse prix'!U11</f>
        <v/>
      </c>
      <c r="L44" s="12">
        <f>'Synthèse prix'!V11</f>
        <v/>
      </c>
      <c r="M44" s="12">
        <f>'Synthèse prix'!Q11</f>
        <v/>
      </c>
    </row>
    <row r="45">
      <c r="A45" t="n">
        <v>56</v>
      </c>
      <c r="B45">
        <f>'Synthèse prix'!A50</f>
        <v/>
      </c>
      <c r="C45" t="inlineStr">
        <is>
          <t>100% Pure Whey 1000g</t>
        </is>
      </c>
      <c r="D45" t="inlineStr">
        <is>
          <t>1kg</t>
        </is>
      </c>
      <c r="E45" s="12">
        <f>'Synthèse prix'!H50</f>
        <v/>
      </c>
      <c r="F45" s="12">
        <f>'Synthèse prix'!I50</f>
        <v/>
      </c>
      <c r="G45" s="12">
        <f>'Synthèse prix'!J50</f>
        <v/>
      </c>
      <c r="H45" s="12">
        <f>'Synthèse prix'!N50</f>
        <v/>
      </c>
      <c r="I45" s="12">
        <f>'Synthèse prix'!S50</f>
        <v/>
      </c>
      <c r="J45" s="12">
        <f>'Synthèse prix'!T50</f>
        <v/>
      </c>
      <c r="K45" s="12">
        <f>'Synthèse prix'!U50</f>
        <v/>
      </c>
      <c r="L45" s="12">
        <f>'Synthèse prix'!V50</f>
        <v/>
      </c>
      <c r="M45" s="12">
        <f>'Synthèse prix'!Q50</f>
        <v/>
      </c>
    </row>
    <row r="46">
      <c r="A46" t="n">
        <v>57</v>
      </c>
      <c r="B46">
        <f>'Synthèse prix'!A10</f>
        <v/>
      </c>
      <c r="C46" t="inlineStr">
        <is>
          <t>Whey Native Isolate 500g</t>
        </is>
      </c>
      <c r="D46" t="inlineStr">
        <is>
          <t>500g</t>
        </is>
      </c>
      <c r="E46" s="12">
        <f>'Synthèse prix'!H10</f>
        <v/>
      </c>
      <c r="F46" s="12">
        <f>'Synthèse prix'!I10</f>
        <v/>
      </c>
      <c r="G46" s="12">
        <f>'Synthèse prix'!J10</f>
        <v/>
      </c>
      <c r="H46" s="12">
        <f>'Synthèse prix'!N10</f>
        <v/>
      </c>
      <c r="I46" s="12">
        <f>'Synthèse prix'!S10</f>
        <v/>
      </c>
      <c r="J46" s="12">
        <f>'Synthèse prix'!T10</f>
        <v/>
      </c>
      <c r="K46" s="12">
        <f>'Synthèse prix'!U10</f>
        <v/>
      </c>
      <c r="L46" s="12">
        <f>'Synthèse prix'!V10</f>
        <v/>
      </c>
      <c r="M46" s="12">
        <f>'Synthèse prix'!Q10</f>
        <v/>
      </c>
    </row>
    <row r="47">
      <c r="A47" t="n">
        <v>58</v>
      </c>
      <c r="B47">
        <f>'Synthèse prix'!A21</f>
        <v/>
      </c>
      <c r="C47" t="inlineStr">
        <is>
          <t>Iso Zero 100% Whey Protéine 500g</t>
        </is>
      </c>
      <c r="D47" t="inlineStr">
        <is>
          <t>500g</t>
        </is>
      </c>
      <c r="E47" s="12">
        <f>'Synthèse prix'!H21</f>
        <v/>
      </c>
      <c r="F47" s="12">
        <f>'Synthèse prix'!I21</f>
        <v/>
      </c>
      <c r="G47" s="12">
        <f>'Synthèse prix'!J21</f>
        <v/>
      </c>
      <c r="H47" s="12">
        <f>'Synthèse prix'!N21</f>
        <v/>
      </c>
      <c r="I47" s="12">
        <f>'Synthèse prix'!S21</f>
        <v/>
      </c>
      <c r="J47" s="12">
        <f>'Synthèse prix'!T21</f>
        <v/>
      </c>
      <c r="K47" s="12">
        <f>'Synthèse prix'!U21</f>
        <v/>
      </c>
      <c r="L47" s="12">
        <f>'Synthèse prix'!V21</f>
        <v/>
      </c>
      <c r="M47" s="12">
        <f>'Synthèse prix'!Q21</f>
        <v/>
      </c>
    </row>
    <row r="48">
      <c r="A48" t="n">
        <v>59</v>
      </c>
      <c r="B48">
        <f>'Synthèse prix'!A24</f>
        <v/>
      </c>
      <c r="C48" t="inlineStr">
        <is>
          <t>Whey Optimax Protein 500g</t>
        </is>
      </c>
      <c r="D48" t="inlineStr">
        <is>
          <t>500g</t>
        </is>
      </c>
      <c r="E48" s="12">
        <f>'Synthèse prix'!H24</f>
        <v/>
      </c>
      <c r="F48" s="12">
        <f>'Synthèse prix'!I24</f>
        <v/>
      </c>
      <c r="G48" s="12">
        <f>'Synthèse prix'!J24</f>
        <v/>
      </c>
      <c r="H48" s="12">
        <f>'Synthèse prix'!N24</f>
        <v/>
      </c>
      <c r="I48" s="12">
        <f>'Synthèse prix'!S24</f>
        <v/>
      </c>
      <c r="J48" s="12">
        <f>'Synthèse prix'!T24</f>
        <v/>
      </c>
      <c r="K48" s="12">
        <f>'Synthèse prix'!U24</f>
        <v/>
      </c>
      <c r="L48" s="12">
        <f>'Synthèse prix'!V24</f>
        <v/>
      </c>
      <c r="M48" s="12">
        <f>'Synthèse prix'!Q24</f>
        <v/>
      </c>
    </row>
    <row r="49">
      <c r="A49" t="n">
        <v>60</v>
      </c>
      <c r="B49">
        <f>'Synthèse prix'!A47</f>
        <v/>
      </c>
      <c r="C49" t="inlineStr">
        <is>
          <t>Iso Whey Zero 908g</t>
        </is>
      </c>
      <c r="D49" t="inlineStr">
        <is>
          <t>908g</t>
        </is>
      </c>
      <c r="E49" s="12">
        <f>'Synthèse prix'!H47</f>
        <v/>
      </c>
      <c r="F49" s="12">
        <f>'Synthèse prix'!I47</f>
        <v/>
      </c>
      <c r="G49" s="12">
        <f>'Synthèse prix'!J47</f>
        <v/>
      </c>
      <c r="H49" s="12">
        <f>'Synthèse prix'!N47</f>
        <v/>
      </c>
      <c r="I49" s="12">
        <f>'Synthèse prix'!S47</f>
        <v/>
      </c>
      <c r="J49" s="12">
        <f>'Synthèse prix'!T47</f>
        <v/>
      </c>
      <c r="K49" s="12">
        <f>'Synthèse prix'!U47</f>
        <v/>
      </c>
      <c r="L49" s="12">
        <f>'Synthèse prix'!V47</f>
        <v/>
      </c>
      <c r="M49" s="12">
        <f>'Synthèse prix'!Q47</f>
        <v/>
      </c>
    </row>
    <row r="50">
      <c r="A50" t="n">
        <v>61</v>
      </c>
      <c r="B50">
        <f>'Synthèse prix'!A49</f>
        <v/>
      </c>
      <c r="C50" t="inlineStr">
        <is>
          <t>100% Pure Whey 400g</t>
        </is>
      </c>
      <c r="D50" t="inlineStr">
        <is>
          <t>400g</t>
        </is>
      </c>
      <c r="E50" s="12">
        <f>'Synthèse prix'!H49</f>
        <v/>
      </c>
      <c r="F50" s="12">
        <f>'Synthèse prix'!I49</f>
        <v/>
      </c>
      <c r="G50" s="12">
        <f>'Synthèse prix'!J49</f>
        <v/>
      </c>
      <c r="H50" s="12">
        <f>'Synthèse prix'!N49</f>
        <v/>
      </c>
      <c r="I50" s="12">
        <f>'Synthèse prix'!S49</f>
        <v/>
      </c>
      <c r="J50" s="12">
        <f>'Synthèse prix'!T49</f>
        <v/>
      </c>
      <c r="K50" s="12">
        <f>'Synthèse prix'!U49</f>
        <v/>
      </c>
      <c r="L50" s="12">
        <f>'Synthèse prix'!V49</f>
        <v/>
      </c>
      <c r="M50" s="12">
        <f>'Synthèse prix'!Q49</f>
        <v/>
      </c>
    </row>
    <row r="51">
      <c r="A51" s="20" t="n">
        <v>62</v>
      </c>
      <c r="B51" s="20">
        <f>'Synthèse prix'!A5</f>
        <v/>
      </c>
      <c r="C51" s="20" t="inlineStr">
        <is>
          <t>Whey Recovery</t>
        </is>
      </c>
      <c r="D51" s="20" t="inlineStr">
        <is>
          <t>525g</t>
        </is>
      </c>
      <c r="E51" s="20">
        <f>'Synthèse prix'!H5</f>
        <v/>
      </c>
      <c r="F51" s="20">
        <f>'Synthèse prix'!I5</f>
        <v/>
      </c>
      <c r="G51" s="20">
        <f>'Synthèse prix'!J5</f>
        <v/>
      </c>
      <c r="H51" s="20">
        <f>'Synthèse prix'!N5</f>
        <v/>
      </c>
      <c r="I51" s="20">
        <f>'Synthèse prix'!S5</f>
        <v/>
      </c>
      <c r="J51" s="20">
        <f>'Synthèse prix'!T5</f>
        <v/>
      </c>
      <c r="K51" s="20">
        <f>'Synthèse prix'!U5</f>
        <v/>
      </c>
      <c r="L51" s="20">
        <f>'Synthèse prix'!V5</f>
        <v/>
      </c>
      <c r="M51" s="20">
        <f>'Synthèse prix'!Q5</f>
        <v/>
      </c>
    </row>
    <row r="52">
      <c r="A52" s="20" t="n">
        <v>63</v>
      </c>
      <c r="B52" s="20">
        <f>'Synthèse prix'!A6</f>
        <v/>
      </c>
      <c r="C52" s="20" t="inlineStr">
        <is>
          <t>Whey Recovery</t>
        </is>
      </c>
      <c r="D52" s="20" t="inlineStr">
        <is>
          <t>525g</t>
        </is>
      </c>
      <c r="E52" s="20">
        <f>'Synthèse prix'!H6</f>
        <v/>
      </c>
      <c r="F52" s="20">
        <f>'Synthèse prix'!I6</f>
        <v/>
      </c>
      <c r="G52" s="20">
        <f>'Synthèse prix'!J6</f>
        <v/>
      </c>
      <c r="H52" s="20">
        <f>'Synthèse prix'!N6</f>
        <v/>
      </c>
      <c r="I52" s="20">
        <f>'Synthèse prix'!S6</f>
        <v/>
      </c>
      <c r="J52" s="20">
        <f>'Synthèse prix'!T6</f>
        <v/>
      </c>
      <c r="K52" s="20">
        <f>'Synthèse prix'!U6</f>
        <v/>
      </c>
      <c r="L52" s="20">
        <f>'Synthèse prix'!V6</f>
        <v/>
      </c>
      <c r="M52" s="20">
        <f>'Synthèse prix'!Q6</f>
        <v/>
      </c>
    </row>
  </sheetData>
  <mergeCells count="1">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12"/>
  <sheetViews>
    <sheetView workbookViewId="0">
      <selection activeCell="B2" sqref="B2:F12"/>
    </sheetView>
  </sheetViews>
  <sheetFormatPr baseColWidth="10" defaultRowHeight="14.5"/>
  <sheetData>
    <row r="2" ht="21" customHeight="1" s="24">
      <c r="B2" s="233" t="inlineStr">
        <is>
          <t>Structure de prix</t>
        </is>
      </c>
      <c r="C2" s="144" t="inlineStr">
        <is>
          <t>Whey Concentrat</t>
        </is>
      </c>
      <c r="D2" s="144" t="inlineStr">
        <is>
          <t>Whey Concentrat</t>
        </is>
      </c>
      <c r="E2" s="146" t="inlineStr">
        <is>
          <t>Whey Isolat</t>
        </is>
      </c>
      <c r="F2" s="146" t="inlineStr">
        <is>
          <t>Whey Isolat</t>
        </is>
      </c>
    </row>
    <row r="3">
      <c r="B3" s="234" t="n"/>
      <c r="C3" s="145" t="inlineStr">
        <is>
          <t>Option 1</t>
        </is>
      </c>
      <c r="D3" s="145" t="inlineStr">
        <is>
          <t>Option 2</t>
        </is>
      </c>
      <c r="E3" s="147" t="inlineStr">
        <is>
          <t>Actuellement</t>
        </is>
      </c>
      <c r="F3" s="147" t="inlineStr">
        <is>
          <t>Demain</t>
        </is>
      </c>
    </row>
    <row r="4">
      <c r="B4" s="148" t="inlineStr">
        <is>
          <t>PPTTC</t>
        </is>
      </c>
      <c r="C4" s="235" t="n">
        <v>36.9</v>
      </c>
      <c r="D4" s="235" t="n">
        <v>39.9</v>
      </c>
      <c r="E4" s="235" t="n">
        <v>39.9</v>
      </c>
      <c r="F4" s="235" t="n">
        <v>49.9</v>
      </c>
    </row>
    <row r="5">
      <c r="B5" s="148" t="inlineStr">
        <is>
          <t>TVA</t>
        </is>
      </c>
      <c r="C5" s="150" t="n">
        <v>0.2</v>
      </c>
      <c r="D5" s="150" t="n">
        <v>0.055</v>
      </c>
      <c r="E5" s="150" t="n">
        <v>0.055</v>
      </c>
      <c r="F5" s="150" t="n">
        <v>0.055</v>
      </c>
    </row>
    <row r="6">
      <c r="B6" s="148" t="inlineStr">
        <is>
          <t>PPHT</t>
        </is>
      </c>
      <c r="C6" s="236" t="n">
        <v>30.75</v>
      </c>
      <c r="D6" s="236" t="n">
        <v>37.82</v>
      </c>
      <c r="E6" s="236" t="n">
        <v>37.82</v>
      </c>
      <c r="F6" s="236" t="n">
        <v>47.3</v>
      </c>
    </row>
    <row r="7">
      <c r="B7" s="148" t="inlineStr">
        <is>
          <t>Tarif</t>
        </is>
      </c>
      <c r="C7" s="236" t="n">
        <v>36.9</v>
      </c>
      <c r="D7" s="236" t="n">
        <v>39.9</v>
      </c>
      <c r="E7" s="236" t="n">
        <v>39.9</v>
      </c>
      <c r="F7" s="236" t="n">
        <v>49.9</v>
      </c>
    </row>
    <row r="8">
      <c r="B8" s="148" t="inlineStr">
        <is>
          <t>Taux de remise complet</t>
        </is>
      </c>
      <c r="C8" s="152" t="n">
        <v>0.18</v>
      </c>
      <c r="D8" s="152" t="n">
        <v>0.18</v>
      </c>
      <c r="E8" s="152" t="n">
        <v>0.18</v>
      </c>
      <c r="F8" s="152" t="n">
        <v>0.18</v>
      </c>
    </row>
    <row r="9">
      <c r="B9" s="148" t="inlineStr">
        <is>
          <t>PVM net</t>
        </is>
      </c>
      <c r="C9" s="236" t="n">
        <v>30.26</v>
      </c>
      <c r="D9" s="236" t="n">
        <v>32.72</v>
      </c>
      <c r="E9" s="236" t="n">
        <v>32.72</v>
      </c>
      <c r="F9" s="236" t="n">
        <v>40.92</v>
      </c>
    </row>
    <row r="10">
      <c r="B10" s="148" t="inlineStr">
        <is>
          <t xml:space="preserve">PR </t>
        </is>
      </c>
      <c r="C10" s="235" t="n">
        <v>21</v>
      </c>
      <c r="D10" s="235" t="n">
        <v>21</v>
      </c>
      <c r="E10" s="235" t="n">
        <v>25</v>
      </c>
      <c r="F10" s="235" t="n">
        <v>25</v>
      </c>
    </row>
    <row r="11">
      <c r="B11" s="148" t="inlineStr">
        <is>
          <t>Marge nette unitaire</t>
        </is>
      </c>
      <c r="C11" s="236" t="n">
        <v>9.26</v>
      </c>
      <c r="D11" s="236" t="n">
        <v>11.72</v>
      </c>
      <c r="E11" s="236" t="n">
        <v>7.72</v>
      </c>
      <c r="F11" s="236" t="n">
        <v>15.92</v>
      </c>
    </row>
    <row r="12">
      <c r="B12" s="148" t="inlineStr">
        <is>
          <t>% marge nette</t>
        </is>
      </c>
      <c r="C12" s="152" t="n">
        <v>0.31</v>
      </c>
      <c r="D12" s="152" t="n">
        <v>0.36</v>
      </c>
      <c r="E12" s="152" t="n">
        <v>0.24</v>
      </c>
      <c r="F12" s="152" t="n">
        <v>0.39</v>
      </c>
    </row>
  </sheetData>
  <mergeCells count="1">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2026-04-14T17:51:22Z</dcterms:modified>
  <cp:lastModifiedBy>Chloé Carrie</cp:lastModifiedBy>
</cp:coreProperties>
</file>