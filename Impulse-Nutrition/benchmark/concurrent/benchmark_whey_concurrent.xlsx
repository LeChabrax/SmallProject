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détaillé" sheetId="1" state="visible" r:id="rId1"/>
    <sheet xmlns:r="http://schemas.openxmlformats.org/officeDocument/2006/relationships" name="Synthèse prix" sheetId="2" state="visible" r:id="rId2"/>
    <sheet xmlns:r="http://schemas.openxmlformats.org/officeDocument/2006/relationships" name="Discounts par marque" sheetId="3" state="visible" r:id="rId3"/>
    <sheet xmlns:r="http://schemas.openxmlformats.org/officeDocument/2006/relationships" name="Classement €⁄g protéine" sheetId="4" state="visible" r:id="rId4"/>
  </sheets>
  <definedNames/>
  <calcPr calcId="124519" fullCalcOnLoad="1"/>
</workbook>
</file>

<file path=xl/styles.xml><?xml version="1.0" encoding="utf-8"?>
<styleSheet xmlns="http://schemas.openxmlformats.org/spreadsheetml/2006/main">
  <numFmts count="3">
    <numFmt numFmtId="164" formatCode="0.00&quot; €&quot;"/>
    <numFmt numFmtId="165" formatCode="0.0000&quot; €&quot;"/>
    <numFmt numFmtId="166" formatCode="0&quot;%&quot;"/>
  </numFmts>
  <fonts count="6">
    <font>
      <name val="Calibri"/>
      <family val="2"/>
      <color theme="1"/>
      <sz val="11"/>
      <scheme val="minor"/>
    </font>
    <font>
      <b val="1"/>
      <color rgb="00FFFFFF"/>
      <sz val="11"/>
    </font>
    <font>
      <b val="1"/>
    </font>
    <font>
      <b val="1"/>
      <color rgb="00FFFFFF"/>
      <sz val="12"/>
    </font>
    <font>
      <i val="1"/>
      <color rgb="001F3864"/>
    </font>
    <font>
      <i val="1"/>
      <color rgb="00666666"/>
    </font>
  </fonts>
  <fills count="8">
    <fill>
      <patternFill/>
    </fill>
    <fill>
      <patternFill patternType="gray125"/>
    </fill>
    <fill>
      <patternFill patternType="solid">
        <fgColor rgb="004472C4"/>
        <bgColor rgb="004472C4"/>
      </patternFill>
    </fill>
    <fill>
      <patternFill patternType="solid">
        <fgColor rgb="001F3864"/>
        <bgColor rgb="001F3864"/>
      </patternFill>
    </fill>
    <fill>
      <patternFill patternType="solid">
        <fgColor rgb="00C00000"/>
        <bgColor rgb="00C00000"/>
      </patternFill>
    </fill>
    <fill>
      <patternFill patternType="solid">
        <fgColor rgb="00D9E1F2"/>
        <bgColor rgb="00D9E1F2"/>
      </patternFill>
    </fill>
    <fill>
      <patternFill patternType="solid">
        <fgColor rgb="00FFF2CC"/>
        <bgColor rgb="00FFF2CC"/>
      </patternFill>
    </fill>
    <fill>
      <patternFill patternType="solid">
        <fgColor rgb="00E8F0FE"/>
        <bgColor rgb="00E8F0FE"/>
      </patternFill>
    </fill>
  </fills>
  <borders count="1">
    <border>
      <left/>
      <right/>
      <top/>
      <bottom/>
      <diagonal/>
    </border>
  </borders>
  <cellStyleXfs count="1">
    <xf numFmtId="0" fontId="0" fillId="0" borderId="0"/>
  </cellStyleXfs>
  <cellXfs count="23">
    <xf numFmtId="0" fontId="0" fillId="0" borderId="0" pivotButton="0" quotePrefix="0" xfId="0"/>
    <xf numFmtId="0" fontId="1" fillId="3" borderId="0" pivotButton="0" quotePrefix="0" xfId="0"/>
    <xf numFmtId="0" fontId="1" fillId="4" borderId="0" applyAlignment="1" pivotButton="0" quotePrefix="0" xfId="0">
      <alignment horizontal="center" vertical="center"/>
    </xf>
    <xf numFmtId="0" fontId="1" fillId="3" borderId="0" applyAlignment="1" pivotButton="0" quotePrefix="0" xfId="0">
      <alignment horizontal="center" vertical="center"/>
    </xf>
    <xf numFmtId="0" fontId="2" fillId="5" borderId="0" pivotButton="0" quotePrefix="0" xfId="0"/>
    <xf numFmtId="0" fontId="2" fillId="6"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pivotButton="0" quotePrefix="0" xfId="0"/>
    <xf numFmtId="0" fontId="0" fillId="2" borderId="0" pivotButton="0" quotePrefix="0" xfId="0"/>
    <xf numFmtId="0" fontId="0" fillId="6" borderId="0" applyAlignment="1" pivotButton="0" quotePrefix="0" xfId="0">
      <alignment horizontal="left" vertical="center" wrapText="1"/>
    </xf>
    <xf numFmtId="0" fontId="0" fillId="0" borderId="0" applyAlignment="1" pivotButton="0" quotePrefix="0" xfId="0">
      <alignment horizontal="left" vertical="center" wrapText="1"/>
    </xf>
    <xf numFmtId="0" fontId="4" fillId="6" borderId="0" pivotButton="0" quotePrefix="0" xfId="0"/>
    <xf numFmtId="0" fontId="4" fillId="7" borderId="0" pivotButton="0" quotePrefix="0" xfId="0"/>
    <xf numFmtId="164" fontId="4" fillId="6" borderId="0" pivotButton="0" quotePrefix="0" xfId="0"/>
    <xf numFmtId="164" fontId="4" fillId="7" borderId="0" pivotButton="0" quotePrefix="0" xfId="0"/>
    <xf numFmtId="165" fontId="4" fillId="6" borderId="0" pivotButton="0" quotePrefix="0" xfId="0"/>
    <xf numFmtId="165" fontId="4" fillId="7" borderId="0" pivotButton="0" quotePrefix="0" xfId="0"/>
    <xf numFmtId="166" fontId="4" fillId="6" borderId="0" pivotButton="0" quotePrefix="0" xfId="0"/>
    <xf numFmtId="166" fontId="4" fillId="7" borderId="0" pivotButton="0" quotePrefix="0" xfId="0"/>
    <xf numFmtId="0" fontId="1" fillId="2" borderId="0" applyAlignment="1" pivotButton="0" quotePrefix="0" xfId="0">
      <alignment horizontal="center" vertical="center"/>
    </xf>
    <xf numFmtId="0" fontId="0" fillId="6" borderId="0" pivotButton="0" quotePrefix="0" xfId="0"/>
    <xf numFmtId="0" fontId="1"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4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s>
  <sheetData>
    <row r="1">
      <c r="A1" s="1" t="inlineStr">
        <is>
          <t>MARQUE / PRODUIT</t>
        </is>
      </c>
      <c r="B1" s="2" t="inlineStr">
        <is>
          <t>IMPULSE</t>
        </is>
      </c>
      <c r="C1" s="2" t="inlineStr">
        <is>
          <t>IMPULSE</t>
        </is>
      </c>
      <c r="D1" s="2" t="inlineStr">
        <is>
          <t>IMPULSE</t>
        </is>
      </c>
      <c r="E1" s="2" t="inlineStr">
        <is>
          <t>IMPULSE</t>
        </is>
      </c>
      <c r="F1" s="2" t="inlineStr">
        <is>
          <t>IMPULSE</t>
        </is>
      </c>
      <c r="G1" s="3" t="inlineStr">
        <is>
          <t>NUTRIPURE</t>
        </is>
      </c>
      <c r="H1" s="3" t="inlineStr">
        <is>
          <t>NUTRIPURE</t>
        </is>
      </c>
      <c r="I1" s="3" t="inlineStr">
        <is>
          <t>NUTRIPURE</t>
        </is>
      </c>
      <c r="J1" s="3" t="inlineStr">
        <is>
          <t>NUTRIMUSCLE</t>
        </is>
      </c>
      <c r="K1" s="3" t="inlineStr">
        <is>
          <t>NUTRIMUSCLE</t>
        </is>
      </c>
      <c r="L1" s="3" t="inlineStr">
        <is>
          <t>NUTRIMUSCLE</t>
        </is>
      </c>
      <c r="M1" s="3" t="inlineStr">
        <is>
          <t>NUTRIMUSCLE</t>
        </is>
      </c>
      <c r="N1" s="3" t="inlineStr">
        <is>
          <t>NUTRIMUSCLE</t>
        </is>
      </c>
      <c r="O1" s="3" t="inlineStr">
        <is>
          <t>NUTRIMUSCLE</t>
        </is>
      </c>
      <c r="P1" s="3" t="inlineStr">
        <is>
          <t>NUTRIMUSCLE</t>
        </is>
      </c>
      <c r="Q1" s="3" t="inlineStr">
        <is>
          <t>NUTRIMUSCLE</t>
        </is>
      </c>
      <c r="R1" s="3" t="inlineStr">
        <is>
          <t>NUTRI&amp;CO</t>
        </is>
      </c>
      <c r="S1" s="3" t="inlineStr">
        <is>
          <t>NUTRI&amp;CO</t>
        </is>
      </c>
      <c r="T1" s="3" t="inlineStr">
        <is>
          <t>AQEELAB</t>
        </is>
      </c>
      <c r="U1" s="3" t="inlineStr">
        <is>
          <t>ERIC FAVRE</t>
        </is>
      </c>
      <c r="V1" s="3" t="inlineStr">
        <is>
          <t>ERIC FAVRE</t>
        </is>
      </c>
      <c r="W1" s="3" t="inlineStr">
        <is>
          <t>ERIC FAVRE</t>
        </is>
      </c>
      <c r="X1" s="3" t="inlineStr">
        <is>
          <t>ERIC FAVRE</t>
        </is>
      </c>
      <c r="Y1" s="3" t="inlineStr">
        <is>
          <t>ERIC FAVRE</t>
        </is>
      </c>
      <c r="Z1" s="3" t="inlineStr">
        <is>
          <t>ERIC FAVRE</t>
        </is>
      </c>
      <c r="AA1" s="3" t="inlineStr">
        <is>
          <t>ERIC FAVRE</t>
        </is>
      </c>
      <c r="AB1" s="3" t="inlineStr">
        <is>
          <t>ERIC FAVRE</t>
        </is>
      </c>
      <c r="AC1" s="3" t="inlineStr">
        <is>
          <t>EAFIT</t>
        </is>
      </c>
      <c r="AD1" s="3" t="inlineStr">
        <is>
          <t>EAFIT</t>
        </is>
      </c>
      <c r="AE1" s="3" t="inlineStr">
        <is>
          <t>EAFIT</t>
        </is>
      </c>
      <c r="AF1" s="3" t="inlineStr">
        <is>
          <t>EAFIT</t>
        </is>
      </c>
      <c r="AG1" s="3" t="inlineStr">
        <is>
          <t>EAFIT</t>
        </is>
      </c>
      <c r="AH1" s="3" t="inlineStr">
        <is>
          <t>EAFIT</t>
        </is>
      </c>
      <c r="AI1" s="3" t="inlineStr">
        <is>
          <t>DECATHLON</t>
        </is>
      </c>
      <c r="AJ1" s="3" t="inlineStr">
        <is>
          <t>DECATHLON</t>
        </is>
      </c>
      <c r="AK1" s="3" t="inlineStr">
        <is>
          <t>BULK</t>
        </is>
      </c>
      <c r="AL1" s="3" t="inlineStr">
        <is>
          <t>BULK</t>
        </is>
      </c>
      <c r="AM1" s="3" t="inlineStr">
        <is>
          <t>BULK</t>
        </is>
      </c>
      <c r="AN1" s="3" t="inlineStr">
        <is>
          <t>BULK</t>
        </is>
      </c>
      <c r="AO1" s="3" t="inlineStr">
        <is>
          <t>BULK</t>
        </is>
      </c>
      <c r="AP1" s="3" t="inlineStr">
        <is>
          <t>BULK</t>
        </is>
      </c>
      <c r="AQ1" s="3" t="inlineStr">
        <is>
          <t>MYPROTEIN</t>
        </is>
      </c>
      <c r="AR1" s="3" t="inlineStr">
        <is>
          <t>MYPROTEIN</t>
        </is>
      </c>
      <c r="AS1" s="3" t="inlineStr">
        <is>
          <t>MYPROTEIN</t>
        </is>
      </c>
      <c r="AT1" s="3" t="inlineStr">
        <is>
          <t>MYPROTEIN</t>
        </is>
      </c>
      <c r="AU1" s="3" t="inlineStr">
        <is>
          <t>MYPROTEIN</t>
        </is>
      </c>
      <c r="AV1" s="3" t="inlineStr">
        <is>
          <t>MYPROTEIN</t>
        </is>
      </c>
      <c r="AW1" s="3" t="inlineStr">
        <is>
          <t>PROZIS</t>
        </is>
      </c>
      <c r="AX1" s="3" t="inlineStr">
        <is>
          <t>PROZIS</t>
        </is>
      </c>
      <c r="AY1" s="3" t="inlineStr">
        <is>
          <t>PROZIS</t>
        </is>
      </c>
      <c r="AZ1" s="3" t="inlineStr">
        <is>
          <t>PROZIS</t>
        </is>
      </c>
      <c r="BA1" s="3" t="inlineStr">
        <is>
          <t>PROZIS</t>
        </is>
      </c>
      <c r="BB1" s="3" t="inlineStr">
        <is>
          <t>FOODSPRING</t>
        </is>
      </c>
      <c r="BC1" s="3" t="inlineStr">
        <is>
          <t>ESN</t>
        </is>
      </c>
      <c r="BD1" s="3" t="inlineStr">
        <is>
          <t>ESN</t>
        </is>
      </c>
      <c r="BE1" s="3" t="inlineStr">
        <is>
          <t>ESN</t>
        </is>
      </c>
      <c r="BF1" s="3" t="inlineStr">
        <is>
          <t>ESN</t>
        </is>
      </c>
      <c r="BG1" s="3" t="inlineStr">
        <is>
          <t>ESN</t>
        </is>
      </c>
      <c r="BH1" s="3" t="inlineStr">
        <is>
          <t>BIOTECHUSA</t>
        </is>
      </c>
      <c r="BI1" s="3" t="inlineStr">
        <is>
          <t>BIOTECHUSA</t>
        </is>
      </c>
      <c r="BJ1" s="3" t="inlineStr">
        <is>
          <t>BIOTECHUSA</t>
        </is>
      </c>
      <c r="BK1" s="3" t="inlineStr">
        <is>
          <t>BIOTECHUSA</t>
        </is>
      </c>
      <c r="BL1" s="3" t="inlineStr">
        <is>
          <t>BIOTECHUSA</t>
        </is>
      </c>
    </row>
    <row r="2" ht="36" customHeight="1">
      <c r="A2" s="4" t="inlineStr">
        <is>
          <t>RÉFÉRENCE</t>
        </is>
      </c>
      <c r="B2" s="5" t="inlineStr">
        <is>
          <t>Whey Isolate
(750g chocolat)</t>
        </is>
      </c>
      <c r="C2" s="5" t="inlineStr">
        <is>
          <t>Whey Isolate
(750g vanille)</t>
        </is>
      </c>
      <c r="D2" s="5" t="inlineStr">
        <is>
          <t>Whey Isolate
(750g nature)</t>
        </is>
      </c>
      <c r="E2" s="5" t="inlineStr">
        <is>
          <t>Whey Recovery
(525g chocolat)</t>
        </is>
      </c>
      <c r="F2" s="5" t="inlineStr">
        <is>
          <t>Whey Recovery
(525g vanille)</t>
        </is>
      </c>
      <c r="G2" s="6" t="inlineStr">
        <is>
          <t>Whey Isolat Native 750g
(750g chocolat)</t>
        </is>
      </c>
      <c r="H2" s="6" t="inlineStr">
        <is>
          <t>Whey Isolat Native 2kg
(2kg chocolat)</t>
        </is>
      </c>
      <c r="I2" s="6" t="inlineStr">
        <is>
          <t>Whey Isolat Native 4kg
(4kg chocolat)</t>
        </is>
      </c>
      <c r="J2" s="6" t="inlineStr">
        <is>
          <t>Whey Native Isolate 500g
(500g chocolat)</t>
        </is>
      </c>
      <c r="K2" s="6" t="inlineStr">
        <is>
          <t>Whey Native Isolate
(1kg chocolat)</t>
        </is>
      </c>
      <c r="L2" s="6" t="inlineStr">
        <is>
          <t>Whey Native Isolate 2,25kg
(2.25kg chocolat)</t>
        </is>
      </c>
      <c r="M2" s="6" t="inlineStr">
        <is>
          <t>Whey Native Isolate 4kg
(4kg chocolat)</t>
        </is>
      </c>
      <c r="N2" s="6" t="inlineStr">
        <is>
          <t>Whey Native Concentrat 500g
(500g chocolat)</t>
        </is>
      </c>
      <c r="O2" s="6" t="inlineStr">
        <is>
          <t>Whey Native Concentrat
(1kg chocolat)</t>
        </is>
      </c>
      <c r="P2" s="6" t="inlineStr">
        <is>
          <t>Whey Native Concentrat 2,25kg
(2.25kg chocolat)</t>
        </is>
      </c>
      <c r="Q2" s="6" t="inlineStr">
        <is>
          <t>Whey Native Concentrat 4kg
(4kg chocolat)</t>
        </is>
      </c>
      <c r="R2" s="6" t="inlineStr">
        <is>
          <t>Whey Isolate Native 900g
(900g chocolat)</t>
        </is>
      </c>
      <c r="S2" s="6" t="inlineStr">
        <is>
          <t>Whey Concentrée Native 900g
(900g chocolat)</t>
        </is>
      </c>
      <c r="T2" s="6" t="inlineStr">
        <is>
          <t>Whey Native 810g
(810g chocolat)</t>
        </is>
      </c>
      <c r="U2" s="6" t="inlineStr">
        <is>
          <t>Iso Zero 100% Whey Protéine 500g
(500g cookies cream)</t>
        </is>
      </c>
      <c r="V2" s="6" t="inlineStr">
        <is>
          <t>Iso Zero 100% Whey Protéine 1,5kg
(1.5kg chocolat)</t>
        </is>
      </c>
      <c r="W2" s="6" t="inlineStr">
        <is>
          <t>Iso Zero 100% Whey Protéine 2kg
(2kg chocotella)</t>
        </is>
      </c>
      <c r="X2" s="6" t="inlineStr">
        <is>
          <t>Whey Optimax Protein 500g
(500g biscuit cookie)</t>
        </is>
      </c>
      <c r="Y2" s="6" t="inlineStr">
        <is>
          <t>Whey Optimax Protein 1,5kg
(1.5kg chocolat)</t>
        </is>
      </c>
      <c r="Z2" s="6" t="inlineStr">
        <is>
          <t>Whey Zero Protéine 2kg
(2kg chocolat)</t>
        </is>
      </c>
      <c r="AA2" s="6" t="inlineStr">
        <is>
          <t>Iso Fusion Protein Complex 750g
(750g biscuit cookie)</t>
        </is>
      </c>
      <c r="AB2" s="6" t="inlineStr">
        <is>
          <t>Iso Fusion Protein Complex 2kg
(2kg biscuit cookie)</t>
        </is>
      </c>
      <c r="AC2" s="6" t="inlineStr">
        <is>
          <t>Pure Isolate 750g
(750g chocolat)</t>
        </is>
      </c>
      <c r="AD2" s="6" t="inlineStr">
        <is>
          <t>Pure Isolate Premium 750g
(750g citron)</t>
        </is>
      </c>
      <c r="AE2" s="6" t="inlineStr">
        <is>
          <t>Pure Whey Protein 750g
(750g double chocolat)</t>
        </is>
      </c>
      <c r="AF2" s="6" t="inlineStr">
        <is>
          <t>Mega Whey Creatine Complex 750g
(750g chocolat)</t>
        </is>
      </c>
      <c r="AG2" s="6" t="inlineStr">
        <is>
          <t>Pure Whey Protein 850g
(850g double chocolat)</t>
        </is>
      </c>
      <c r="AH2" s="6" t="inlineStr">
        <is>
          <t>Pure Whey Protein 2.2kg
(2.2kg double chocolat)</t>
        </is>
      </c>
      <c r="AI2" s="6" t="inlineStr">
        <is>
          <t>Pure Whey 100% Isolate 900g
(900g chocolat)</t>
        </is>
      </c>
      <c r="AJ2" s="6" t="inlineStr">
        <is>
          <t>Whey Protein 900g (Concentrat)
(900g chocolat)</t>
        </is>
      </c>
      <c r="AK2" s="6" t="inlineStr">
        <is>
          <t>Pure Whey Isolate 1kg
(1kg chocolat)</t>
        </is>
      </c>
      <c r="AL2" s="6" t="inlineStr">
        <is>
          <t>Pure Whey Isolate 2,5kg
(2.5kg chocolat)</t>
        </is>
      </c>
      <c r="AM2" s="6" t="inlineStr">
        <is>
          <t>Pure Whey Protein 1kg
(1kg chocolat)</t>
        </is>
      </c>
      <c r="AN2" s="6" t="inlineStr">
        <is>
          <t>Pure Whey Protein 2,5kg
(2.5kg chocolat)</t>
        </is>
      </c>
      <c r="AO2" s="6" t="inlineStr">
        <is>
          <t>Pure Whey Protein 5kg
(5kg chocolat)</t>
        </is>
      </c>
      <c r="AP2" s="6" t="inlineStr">
        <is>
          <t>Clear Whey Isolate 500g
(500g fraise)</t>
        </is>
      </c>
      <c r="AQ2" s="6" t="inlineStr">
        <is>
          <t>Impact Whey Isolate 1kg
(1kg chocolat)</t>
        </is>
      </c>
      <c r="AR2" s="6" t="inlineStr">
        <is>
          <t>Impact Whey Isolate 2,5kg
(2.5kg chocolat)</t>
        </is>
      </c>
      <c r="AS2" s="6" t="inlineStr">
        <is>
          <t>Impact Whey Protein 1kg
(1kg chocolat)</t>
        </is>
      </c>
      <c r="AT2" s="6" t="inlineStr">
        <is>
          <t>Impact Whey Protein 2,5kg
(2.5kg chocolat)</t>
        </is>
      </c>
      <c r="AU2" s="6" t="inlineStr">
        <is>
          <t>Impact Whey Protein 5kg (Sans arôme)
(5kg sans arôme)</t>
        </is>
      </c>
      <c r="AV2" s="6" t="inlineStr">
        <is>
          <t>Clear Whey Isolate 875g
(875g fraise)</t>
        </is>
      </c>
      <c r="AW2" s="6" t="inlineStr">
        <is>
          <t>Zero Diet Whey 750g
(750g brownie au chocolat)</t>
        </is>
      </c>
      <c r="AX2" s="6" t="inlineStr">
        <is>
          <t>100% Real Whey Isolate 1000g
(1kg chocolat)</t>
        </is>
      </c>
      <c r="AY2" s="6" t="inlineStr">
        <is>
          <t>100% Real Whey Protein 907g
(907g chocolat)</t>
        </is>
      </c>
      <c r="AZ2" s="6" t="inlineStr">
        <is>
          <t>100% Real Whey Protein 2000g
(2kg chocolat)</t>
        </is>
      </c>
      <c r="BA2" s="6" t="inlineStr">
        <is>
          <t>100% Whey Hydro Isolate 2000g
(2kg chocolat)</t>
        </is>
      </c>
      <c r="BB2" s="6" t="inlineStr">
        <is>
          <t>Whey Protein 750g
(750g vanille)</t>
        </is>
      </c>
      <c r="BC2" s="6" t="inlineStr">
        <is>
          <t>Iso Whey Protein Isolat 908g
(908g chocolate)</t>
        </is>
      </c>
      <c r="BD2" s="6" t="inlineStr">
        <is>
          <t>Designer Whey Protein 908g
(908g salted dark chocolate)</t>
        </is>
      </c>
      <c r="BE2" s="6" t="inlineStr">
        <is>
          <t>Basic Whey 1000g
(1kg chocolate)</t>
        </is>
      </c>
      <c r="BF2" s="6" t="inlineStr">
        <is>
          <t>Designer Whey Protein 2000g
(2kg salted dark chocolate)</t>
        </is>
      </c>
      <c r="BG2" s="6" t="inlineStr">
        <is>
          <t>Basic Whey 2000g
(2kg chocolate)</t>
        </is>
      </c>
      <c r="BH2" s="6" t="inlineStr">
        <is>
          <t>Iso Whey Zero 908g
(908g chocolat)</t>
        </is>
      </c>
      <c r="BI2" s="6" t="inlineStr">
        <is>
          <t>Iso Whey Zero 1816g
(1.816kg chocolat)</t>
        </is>
      </c>
      <c r="BJ2" s="6" t="inlineStr">
        <is>
          <t>100% Pure Whey 400g
(400g chocolat)</t>
        </is>
      </c>
      <c r="BK2" s="6" t="inlineStr">
        <is>
          <t>100% Pure Whey 1000g
(1kg chocolat)</t>
        </is>
      </c>
      <c r="BL2" s="6" t="inlineStr">
        <is>
          <t>100% Pure Whey 2000g
(2kg chocolat)</t>
        </is>
      </c>
    </row>
    <row r="3">
      <c r="A3" s="7" t="inlineStr">
        <is>
          <t>IDENTIFICATION</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c r="AX3" s="8" t="n"/>
      <c r="AY3" s="8" t="n"/>
      <c r="AZ3" s="8" t="n"/>
      <c r="BA3" s="8" t="n"/>
      <c r="BB3" s="8" t="n"/>
      <c r="BC3" s="8" t="n"/>
      <c r="BD3" s="8" t="n"/>
      <c r="BE3" s="8" t="n"/>
      <c r="BF3" s="8" t="n"/>
      <c r="BG3" s="8" t="n"/>
      <c r="BH3" s="8" t="n"/>
      <c r="BI3" s="8" t="n"/>
      <c r="BJ3" s="8" t="n"/>
      <c r="BK3" s="8" t="n"/>
      <c r="BL3" s="8" t="n"/>
    </row>
    <row r="4">
      <c r="A4" s="4" t="inlineStr">
        <is>
          <t>Type de whey</t>
        </is>
      </c>
      <c r="B4" s="9" t="inlineStr">
        <is>
          <t>isolat natif (natif)</t>
        </is>
      </c>
      <c r="C4" s="9" t="inlineStr">
        <is>
          <t>isolat natif (natif)</t>
        </is>
      </c>
      <c r="D4" s="9" t="inlineStr">
        <is>
          <t>isolat natif (natif)</t>
        </is>
      </c>
      <c r="E4" s="9" t="inlineStr">
        <is>
          <t>concentrat fromagere</t>
        </is>
      </c>
      <c r="F4" s="9" t="inlineStr">
        <is>
          <t>concentrat fromagere</t>
        </is>
      </c>
      <c r="G4" s="10" t="inlineStr">
        <is>
          <t>isolat natif (natif)</t>
        </is>
      </c>
      <c r="H4" s="10" t="inlineStr">
        <is>
          <t>isolat natif (natif)</t>
        </is>
      </c>
      <c r="I4" s="10" t="inlineStr">
        <is>
          <t>isolat natif (natif)</t>
        </is>
      </c>
      <c r="J4" s="10" t="inlineStr">
        <is>
          <t>isolat natif (natif)</t>
        </is>
      </c>
      <c r="K4" s="10" t="inlineStr">
        <is>
          <t>isolat natif (natif)</t>
        </is>
      </c>
      <c r="L4" s="10" t="inlineStr">
        <is>
          <t>isolat natif (natif)</t>
        </is>
      </c>
      <c r="M4" s="10" t="inlineStr">
        <is>
          <t>isolat natif (natif)</t>
        </is>
      </c>
      <c r="N4" s="10" t="inlineStr">
        <is>
          <t>concentrat natif (natif)</t>
        </is>
      </c>
      <c r="O4" s="10" t="inlineStr">
        <is>
          <t>concentrat natif (natif)</t>
        </is>
      </c>
      <c r="P4" s="10" t="inlineStr">
        <is>
          <t>concentrat natif (natif)</t>
        </is>
      </c>
      <c r="Q4" s="10" t="inlineStr">
        <is>
          <t>concentrat natif (natif)</t>
        </is>
      </c>
      <c r="R4" s="10" t="inlineStr">
        <is>
          <t>isolat natif (natif)</t>
        </is>
      </c>
      <c r="S4" s="10" t="inlineStr">
        <is>
          <t>concentrat natif (natif)</t>
        </is>
      </c>
      <c r="T4" s="10" t="inlineStr">
        <is>
          <t>concentrat natif (natif)</t>
        </is>
      </c>
      <c r="U4" s="10" t="inlineStr">
        <is>
          <t>isolat fromagere</t>
        </is>
      </c>
      <c r="V4" s="10" t="inlineStr">
        <is>
          <t>isolat fromagere</t>
        </is>
      </c>
      <c r="W4" s="10" t="inlineStr">
        <is>
          <t>isolat fromagere</t>
        </is>
      </c>
      <c r="X4" s="10" t="inlineStr">
        <is>
          <t>concentrat fromagere</t>
        </is>
      </c>
      <c r="Y4" s="10" t="inlineStr">
        <is>
          <t>concentrat fromagere</t>
        </is>
      </c>
      <c r="Z4" s="10" t="inlineStr">
        <is>
          <t>concentrat fromagere</t>
        </is>
      </c>
      <c r="AA4" s="10" t="inlineStr">
        <is>
          <t>mix concentrat isolat</t>
        </is>
      </c>
      <c r="AB4" s="10" t="inlineStr">
        <is>
          <t>mix concentrat isolat</t>
        </is>
      </c>
      <c r="AC4" s="10" t="inlineStr">
        <is>
          <t>isolat fromagere</t>
        </is>
      </c>
      <c r="AD4" s="10" t="inlineStr">
        <is>
          <t>isolat fromagere</t>
        </is>
      </c>
      <c r="AE4" s="10" t="inlineStr">
        <is>
          <t>concentrat fromagere</t>
        </is>
      </c>
      <c r="AF4" s="10" t="inlineStr">
        <is>
          <t>concentrat fromagere</t>
        </is>
      </c>
      <c r="AG4" s="10" t="inlineStr">
        <is>
          <t>concentrat fromagere</t>
        </is>
      </c>
      <c r="AH4" s="10" t="inlineStr">
        <is>
          <t>concentrat fromagere</t>
        </is>
      </c>
      <c r="AI4" s="10" t="inlineStr">
        <is>
          <t>isolat fromagere</t>
        </is>
      </c>
      <c r="AJ4" s="10" t="inlineStr">
        <is>
          <t>concentrat fromagere</t>
        </is>
      </c>
      <c r="AK4" s="10" t="inlineStr">
        <is>
          <t>isolat fromagere</t>
        </is>
      </c>
      <c r="AL4" s="10" t="inlineStr">
        <is>
          <t>isolat fromagere</t>
        </is>
      </c>
      <c r="AM4" s="10" t="inlineStr">
        <is>
          <t>concentrat fromagere</t>
        </is>
      </c>
      <c r="AN4" s="10" t="inlineStr">
        <is>
          <t>concentrat fromagere</t>
        </is>
      </c>
      <c r="AO4" s="10" t="inlineStr">
        <is>
          <t>concentrat fromagere</t>
        </is>
      </c>
      <c r="AP4" s="10" t="inlineStr">
        <is>
          <t>clear hydrolysat</t>
        </is>
      </c>
      <c r="AQ4" s="10" t="inlineStr">
        <is>
          <t>isolat fromagere</t>
        </is>
      </c>
      <c r="AR4" s="10" t="inlineStr">
        <is>
          <t>isolat fromagere</t>
        </is>
      </c>
      <c r="AS4" s="10" t="inlineStr">
        <is>
          <t>concentrat fromagere</t>
        </is>
      </c>
      <c r="AT4" s="10" t="inlineStr">
        <is>
          <t>concentrat fromagere</t>
        </is>
      </c>
      <c r="AU4" s="10" t="inlineStr">
        <is>
          <t>concentrat fromagere</t>
        </is>
      </c>
      <c r="AV4" s="10" t="inlineStr">
        <is>
          <t>clear hydrolysat</t>
        </is>
      </c>
      <c r="AW4" s="10" t="inlineStr">
        <is>
          <t>isolat fromagere</t>
        </is>
      </c>
      <c r="AX4" s="10" t="inlineStr">
        <is>
          <t>isolat fromagere</t>
        </is>
      </c>
      <c r="AY4" s="10" t="inlineStr">
        <is>
          <t>concentrat fromagere</t>
        </is>
      </c>
      <c r="AZ4" s="10" t="inlineStr">
        <is>
          <t>concentrat fromagere</t>
        </is>
      </c>
      <c r="BA4" s="10" t="inlineStr">
        <is>
          <t>clear hydrolysat</t>
        </is>
      </c>
      <c r="BB4" s="10" t="inlineStr">
        <is>
          <t>concentrat fromagere</t>
        </is>
      </c>
      <c r="BC4" s="10" t="inlineStr">
        <is>
          <t>isolat fromagere</t>
        </is>
      </c>
      <c r="BD4" s="10" t="inlineStr">
        <is>
          <t>concentrat fromagere</t>
        </is>
      </c>
      <c r="BE4" s="10" t="inlineStr">
        <is>
          <t>concentrat fromagere</t>
        </is>
      </c>
      <c r="BF4" s="10" t="inlineStr">
        <is>
          <t>concentrat fromagere</t>
        </is>
      </c>
      <c r="BG4" s="10" t="inlineStr">
        <is>
          <t>concentrat fromagere</t>
        </is>
      </c>
      <c r="BH4" s="10" t="inlineStr">
        <is>
          <t>isolat fromagere</t>
        </is>
      </c>
      <c r="BI4" s="10" t="inlineStr">
        <is>
          <t>isolat fromagere</t>
        </is>
      </c>
      <c r="BJ4" s="10" t="inlineStr">
        <is>
          <t>concentrat fromagere</t>
        </is>
      </c>
      <c r="BK4" s="10" t="inlineStr">
        <is>
          <t>concentrat fromagere</t>
        </is>
      </c>
      <c r="BL4" s="10" t="inlineStr">
        <is>
          <t>concentrat fromagere</t>
        </is>
      </c>
    </row>
    <row r="5">
      <c r="A5" s="4" t="inlineStr">
        <is>
          <t>Poids net (g)</t>
        </is>
      </c>
      <c r="B5" s="9" t="n">
        <v>750</v>
      </c>
      <c r="C5" s="9" t="n">
        <v>750</v>
      </c>
      <c r="D5" s="9" t="n">
        <v>750</v>
      </c>
      <c r="E5" s="9" t="n">
        <v>525</v>
      </c>
      <c r="F5" s="9" t="n">
        <v>525</v>
      </c>
      <c r="G5" s="10" t="n">
        <v>750</v>
      </c>
      <c r="H5" s="10" t="n">
        <v>2000</v>
      </c>
      <c r="I5" s="10" t="n">
        <v>4000</v>
      </c>
      <c r="J5" s="10" t="n">
        <v>500</v>
      </c>
      <c r="K5" s="10" t="n">
        <v>1000</v>
      </c>
      <c r="L5" s="10" t="n">
        <v>2250</v>
      </c>
      <c r="M5" s="10" t="n">
        <v>4000</v>
      </c>
      <c r="N5" s="10" t="n">
        <v>500</v>
      </c>
      <c r="O5" s="10" t="n">
        <v>1000</v>
      </c>
      <c r="P5" s="10" t="n">
        <v>2250</v>
      </c>
      <c r="Q5" s="10" t="n">
        <v>4000</v>
      </c>
      <c r="R5" s="10" t="n">
        <v>900</v>
      </c>
      <c r="S5" s="10" t="n">
        <v>900</v>
      </c>
      <c r="T5" s="10" t="n">
        <v>810</v>
      </c>
      <c r="U5" s="10" t="n">
        <v>500</v>
      </c>
      <c r="V5" s="10" t="n">
        <v>1500</v>
      </c>
      <c r="W5" s="10" t="n">
        <v>2000</v>
      </c>
      <c r="X5" s="10" t="n">
        <v>500</v>
      </c>
      <c r="Y5" s="10" t="n">
        <v>1500</v>
      </c>
      <c r="Z5" s="10" t="n">
        <v>2000</v>
      </c>
      <c r="AA5" s="10" t="n">
        <v>750</v>
      </c>
      <c r="AB5" s="10" t="n">
        <v>2000</v>
      </c>
      <c r="AC5" s="10" t="n">
        <v>750</v>
      </c>
      <c r="AD5" s="10" t="n">
        <v>750</v>
      </c>
      <c r="AE5" s="10" t="n">
        <v>750</v>
      </c>
      <c r="AF5" s="10" t="n">
        <v>750</v>
      </c>
      <c r="AG5" s="10" t="n">
        <v>850</v>
      </c>
      <c r="AH5" s="10" t="n">
        <v>2200</v>
      </c>
      <c r="AI5" s="10" t="n">
        <v>900</v>
      </c>
      <c r="AJ5" s="10" t="n">
        <v>900</v>
      </c>
      <c r="AK5" s="10" t="n">
        <v>1000</v>
      </c>
      <c r="AL5" s="10" t="n">
        <v>2500</v>
      </c>
      <c r="AM5" s="10" t="n">
        <v>1000</v>
      </c>
      <c r="AN5" s="10" t="n">
        <v>2500</v>
      </c>
      <c r="AO5" s="10" t="n">
        <v>5000</v>
      </c>
      <c r="AP5" s="10" t="n">
        <v>500</v>
      </c>
      <c r="AQ5" s="10" t="n">
        <v>1000</v>
      </c>
      <c r="AR5" s="10" t="n">
        <v>2500</v>
      </c>
      <c r="AS5" s="10" t="n">
        <v>1000</v>
      </c>
      <c r="AT5" s="10" t="n">
        <v>2500</v>
      </c>
      <c r="AU5" s="10" t="n">
        <v>5000</v>
      </c>
      <c r="AV5" s="10" t="n">
        <v>875</v>
      </c>
      <c r="AW5" s="10" t="n">
        <v>750</v>
      </c>
      <c r="AX5" s="10" t="n">
        <v>1000</v>
      </c>
      <c r="AY5" s="10" t="n">
        <v>907</v>
      </c>
      <c r="AZ5" s="10" t="n">
        <v>2000</v>
      </c>
      <c r="BA5" s="10" t="n">
        <v>2000</v>
      </c>
      <c r="BB5" s="10" t="n">
        <v>750</v>
      </c>
      <c r="BC5" s="10" t="n">
        <v>908</v>
      </c>
      <c r="BD5" s="10" t="n">
        <v>908</v>
      </c>
      <c r="BE5" s="10" t="n">
        <v>1000</v>
      </c>
      <c r="BF5" s="10" t="n">
        <v>2000</v>
      </c>
      <c r="BG5" s="10" t="n">
        <v>2000</v>
      </c>
      <c r="BH5" s="10" t="n">
        <v>908</v>
      </c>
      <c r="BI5" s="10" t="n">
        <v>1816</v>
      </c>
      <c r="BJ5" s="10" t="n">
        <v>400</v>
      </c>
      <c r="BK5" s="10" t="n">
        <v>1000</v>
      </c>
      <c r="BL5" s="10" t="n">
        <v>2000</v>
      </c>
    </row>
    <row r="6">
      <c r="A6" s="4" t="inlineStr">
        <is>
          <t>Arôme pivot</t>
        </is>
      </c>
      <c r="B6" s="9" t="inlineStr">
        <is>
          <t>chocolat</t>
        </is>
      </c>
      <c r="C6" s="9" t="inlineStr">
        <is>
          <t>vanille</t>
        </is>
      </c>
      <c r="D6" s="9" t="inlineStr">
        <is>
          <t>nature</t>
        </is>
      </c>
      <c r="E6" s="9" t="inlineStr">
        <is>
          <t>chocolat</t>
        </is>
      </c>
      <c r="F6" s="9" t="inlineStr">
        <is>
          <t>vanille</t>
        </is>
      </c>
      <c r="G6" s="10" t="inlineStr">
        <is>
          <t>chocolat</t>
        </is>
      </c>
      <c r="H6" s="10" t="inlineStr">
        <is>
          <t>chocolat</t>
        </is>
      </c>
      <c r="I6" s="10" t="inlineStr">
        <is>
          <t>chocolat</t>
        </is>
      </c>
      <c r="J6" s="10" t="inlineStr">
        <is>
          <t>chocolat</t>
        </is>
      </c>
      <c r="K6" s="10" t="inlineStr">
        <is>
          <t>chocolat</t>
        </is>
      </c>
      <c r="L6" s="10" t="inlineStr">
        <is>
          <t>chocolat</t>
        </is>
      </c>
      <c r="M6" s="10" t="inlineStr">
        <is>
          <t>chocolat</t>
        </is>
      </c>
      <c r="N6" s="10" t="inlineStr">
        <is>
          <t>chocolat</t>
        </is>
      </c>
      <c r="O6" s="10" t="inlineStr">
        <is>
          <t>chocolat</t>
        </is>
      </c>
      <c r="P6" s="10" t="inlineStr">
        <is>
          <t>chocolat</t>
        </is>
      </c>
      <c r="Q6" s="10" t="inlineStr">
        <is>
          <t>chocolat</t>
        </is>
      </c>
      <c r="R6" s="10" t="inlineStr">
        <is>
          <t>chocolat</t>
        </is>
      </c>
      <c r="S6" s="10" t="inlineStr">
        <is>
          <t>chocolat</t>
        </is>
      </c>
      <c r="T6" s="10" t="inlineStr">
        <is>
          <t>chocolat</t>
        </is>
      </c>
      <c r="U6" s="10" t="inlineStr">
        <is>
          <t>cookies cream</t>
        </is>
      </c>
      <c r="V6" s="10" t="inlineStr">
        <is>
          <t>chocolat</t>
        </is>
      </c>
      <c r="W6" s="10" t="inlineStr">
        <is>
          <t>chocotella</t>
        </is>
      </c>
      <c r="X6" s="10" t="inlineStr">
        <is>
          <t>biscuit cookie</t>
        </is>
      </c>
      <c r="Y6" s="10" t="inlineStr">
        <is>
          <t>chocolat</t>
        </is>
      </c>
      <c r="Z6" s="10" t="inlineStr">
        <is>
          <t>chocolat</t>
        </is>
      </c>
      <c r="AA6" s="10" t="inlineStr">
        <is>
          <t>biscuit cookie</t>
        </is>
      </c>
      <c r="AB6" s="10" t="inlineStr">
        <is>
          <t>biscuit cookie</t>
        </is>
      </c>
      <c r="AC6" s="10" t="inlineStr">
        <is>
          <t>chocolat</t>
        </is>
      </c>
      <c r="AD6" s="10" t="inlineStr">
        <is>
          <t>citron</t>
        </is>
      </c>
      <c r="AE6" s="10" t="inlineStr">
        <is>
          <t>double chocolat</t>
        </is>
      </c>
      <c r="AF6" s="10" t="inlineStr">
        <is>
          <t>chocolat</t>
        </is>
      </c>
      <c r="AG6" s="10" t="inlineStr">
        <is>
          <t>double chocolat</t>
        </is>
      </c>
      <c r="AH6" s="10" t="inlineStr">
        <is>
          <t>double chocolat</t>
        </is>
      </c>
      <c r="AI6" s="10" t="inlineStr">
        <is>
          <t>chocolat</t>
        </is>
      </c>
      <c r="AJ6" s="10" t="inlineStr">
        <is>
          <t>chocolat</t>
        </is>
      </c>
      <c r="AK6" s="10" t="inlineStr">
        <is>
          <t>chocolat</t>
        </is>
      </c>
      <c r="AL6" s="10" t="inlineStr">
        <is>
          <t>chocolat</t>
        </is>
      </c>
      <c r="AM6" s="10" t="inlineStr">
        <is>
          <t>chocolat</t>
        </is>
      </c>
      <c r="AN6" s="10" t="inlineStr">
        <is>
          <t>chocolat</t>
        </is>
      </c>
      <c r="AO6" s="10" t="inlineStr">
        <is>
          <t>chocolat</t>
        </is>
      </c>
      <c r="AP6" s="10" t="inlineStr">
        <is>
          <t>fraise</t>
        </is>
      </c>
      <c r="AQ6" s="10" t="inlineStr">
        <is>
          <t>chocolat</t>
        </is>
      </c>
      <c r="AR6" s="10" t="inlineStr">
        <is>
          <t>chocolat</t>
        </is>
      </c>
      <c r="AS6" s="10" t="inlineStr">
        <is>
          <t>chocolat</t>
        </is>
      </c>
      <c r="AT6" s="10" t="inlineStr">
        <is>
          <t>chocolat</t>
        </is>
      </c>
      <c r="AU6" s="10" t="inlineStr">
        <is>
          <t>sans arôme</t>
        </is>
      </c>
      <c r="AV6" s="10" t="inlineStr">
        <is>
          <t>fraise</t>
        </is>
      </c>
      <c r="AW6" s="10" t="inlineStr">
        <is>
          <t>brownie au chocolat</t>
        </is>
      </c>
      <c r="AX6" s="10" t="inlineStr">
        <is>
          <t>chocolat</t>
        </is>
      </c>
      <c r="AY6" s="10" t="inlineStr">
        <is>
          <t>chocolat</t>
        </is>
      </c>
      <c r="AZ6" s="10" t="inlineStr">
        <is>
          <t>chocolat</t>
        </is>
      </c>
      <c r="BA6" s="10" t="inlineStr">
        <is>
          <t>chocolat</t>
        </is>
      </c>
      <c r="BB6" s="10" t="inlineStr">
        <is>
          <t>vanille</t>
        </is>
      </c>
      <c r="BC6" s="10" t="inlineStr">
        <is>
          <t>chocolate</t>
        </is>
      </c>
      <c r="BD6" s="10" t="inlineStr">
        <is>
          <t>salted dark chocolate</t>
        </is>
      </c>
      <c r="BE6" s="10" t="inlineStr">
        <is>
          <t>chocolate</t>
        </is>
      </c>
      <c r="BF6" s="10" t="inlineStr">
        <is>
          <t>salted dark chocolate</t>
        </is>
      </c>
      <c r="BG6" s="10" t="inlineStr">
        <is>
          <t>chocolate</t>
        </is>
      </c>
      <c r="BH6" s="10" t="inlineStr">
        <is>
          <t>chocolat</t>
        </is>
      </c>
      <c r="BI6" s="10" t="inlineStr">
        <is>
          <t>chocolat</t>
        </is>
      </c>
      <c r="BJ6" s="10" t="inlineStr">
        <is>
          <t>chocolat</t>
        </is>
      </c>
      <c r="BK6" s="10" t="inlineStr">
        <is>
          <t>chocolat</t>
        </is>
      </c>
      <c r="BL6" s="10" t="inlineStr">
        <is>
          <t>chocolat</t>
        </is>
      </c>
    </row>
    <row r="7">
      <c r="A7" s="4" t="inlineStr">
        <is>
          <t>Arômes disponibles (sample)</t>
        </is>
      </c>
      <c r="B7" s="9" t="inlineStr">
        <is>
          <t>chocolat, vanille, nature</t>
        </is>
      </c>
      <c r="C7" s="9" t="inlineStr">
        <is>
          <t>chocolat, vanille, nature</t>
        </is>
      </c>
      <c r="D7" s="9" t="inlineStr">
        <is>
          <t>chocolat, vanille, nature</t>
        </is>
      </c>
      <c r="E7" s="9" t="inlineStr">
        <is>
          <t>chocolat, vanille</t>
        </is>
      </c>
      <c r="F7" s="9" t="inlineStr">
        <is>
          <t>chocolat, vanille</t>
        </is>
      </c>
      <c r="G7" s="10" t="inlineStr">
        <is>
          <t>Chocolat, Vanille, Neutre, Noisette, Fraise</t>
        </is>
      </c>
      <c r="H7" s="10" t="inlineStr">
        <is>
          <t>Chocolat, Vanille, Neutre, Noisette, Fraise</t>
        </is>
      </c>
      <c r="I7" s="10" t="inlineStr">
        <is>
          <t>chocolat, vanille, neutre, noisette, fraise</t>
        </is>
      </c>
      <c r="J7" s="10" t="inlineStr">
        <is>
          <t>chocolat, nature, vanille, choco cookie, fraise, banane</t>
        </is>
      </c>
      <c r="K7" s="10" t="inlineStr">
        <is>
          <t>Chocolat, Vanille, Neutre, Fraise</t>
        </is>
      </c>
      <c r="L7" s="10" t="inlineStr">
        <is>
          <t>chocolat, nature, vanille, choco cookie, fraise, banane</t>
        </is>
      </c>
      <c r="M7" s="10" t="inlineStr">
        <is>
          <t>chocolat, nature, vanille, choco cookie, fraise, banane</t>
        </is>
      </c>
      <c r="N7" s="10" t="inlineStr">
        <is>
          <t>chocolat, vanille, nature</t>
        </is>
      </c>
      <c r="O7" s="10" t="inlineStr">
        <is>
          <t>Chocolat, Vanille, Neutre, Fraise</t>
        </is>
      </c>
      <c r="P7" s="10" t="inlineStr">
        <is>
          <t>chocolat, vanille, nature</t>
        </is>
      </c>
      <c r="Q7" s="10" t="inlineStr">
        <is>
          <t>chocolat, vanille, nature</t>
        </is>
      </c>
      <c r="R7" s="10" t="inlineStr">
        <is>
          <t>chocolat, vanille, sans arôme</t>
        </is>
      </c>
      <c r="S7" s="10" t="inlineStr">
        <is>
          <t>chocolat, vanille</t>
        </is>
      </c>
      <c r="T7" s="10" t="inlineStr">
        <is>
          <t>chocolat, vanille</t>
        </is>
      </c>
      <c r="U7" s="10" t="inlineStr">
        <is>
          <t>chocolat, vanille, cookies cream, chocotella, pistache</t>
        </is>
      </c>
      <c r="V7" s="10" t="inlineStr">
        <is>
          <t>chocolat, vanille, cookies cream, chocotella, pistache, framboisier, café latte</t>
        </is>
      </c>
      <c r="W7" s="10" t="inlineStr">
        <is>
          <t>chocolat, vanille, cookies cream, chocotella, pistache, framboisier, café latte</t>
        </is>
      </c>
      <c r="X7" s="10" t="inlineStr">
        <is>
          <t>chocolat, vanille, biscuit cookie</t>
        </is>
      </c>
      <c r="Y7" s="10" t="inlineStr">
        <is>
          <t>chocolat, vanille, biscuit cookie, chocotella</t>
        </is>
      </c>
      <c r="Z7" s="10" t="inlineStr">
        <is>
          <t>chocolat, vanille, cookies cream</t>
        </is>
      </c>
      <c r="AA7" s="10" t="inlineStr">
        <is>
          <t>biscuit cookie, vanille, chocotella</t>
        </is>
      </c>
      <c r="AB7" s="10" t="inlineStr">
        <is>
          <t>biscuit cookie, vanille, chocotella</t>
        </is>
      </c>
      <c r="AC7" s="10" t="inlineStr">
        <is>
          <t>chocolat, vanille, fruits rouges</t>
        </is>
      </c>
      <c r="AD7" s="10" t="inlineStr">
        <is>
          <t>citron</t>
        </is>
      </c>
      <c r="AE7" s="10" t="inlineStr">
        <is>
          <t>double chocolat, café, chocolat noisette, vanille intense, caramel, fraise</t>
        </is>
      </c>
      <c r="AF7" s="10" t="inlineStr">
        <is>
          <t>chocolat, vanille</t>
        </is>
      </c>
      <c r="AG7" s="10" t="inlineStr">
        <is>
          <t>double chocolat, café, chocolat noisette, vanille intense, caramel</t>
        </is>
      </c>
      <c r="AH7" s="10" t="inlineStr">
        <is>
          <t>double chocolat, vanille intense, fraise, myrtille, chocolat noisette</t>
        </is>
      </c>
      <c r="AI7" s="10" t="inlineStr">
        <is>
          <t>Cacao, Vanille, Café Latte, Neutre</t>
        </is>
      </c>
      <c r="AJ7" s="10" t="inlineStr">
        <is>
          <t>Cacao, Vanille</t>
        </is>
      </c>
      <c r="AK7" s="10" t="inlineStr">
        <is>
          <t>Choco, Vanille, Fraise, Neutre</t>
        </is>
      </c>
      <c r="AL7" s="10" t="inlineStr">
        <is>
          <t>Choco, Vanille, Fraise, Neutre</t>
        </is>
      </c>
      <c r="AM7" s="10" t="inlineStr">
        <is>
          <t>+20 saveurs (Choco, Vanille, Fraise, Neutre...)</t>
        </is>
      </c>
      <c r="AN7" s="10" t="inlineStr">
        <is>
          <t>+20 saveurs</t>
        </is>
      </c>
      <c r="AO7" s="10" t="inlineStr">
        <is>
          <t>+20 saveurs</t>
        </is>
      </c>
      <c r="AP7" s="10" t="inlineStr">
        <is>
          <t>Fraise, Pastèque, Pêche, Ananas...</t>
        </is>
      </c>
      <c r="AQ7" s="10" t="inlineStr">
        <is>
          <t>+40 saveurs</t>
        </is>
      </c>
      <c r="AR7" s="10" t="inlineStr">
        <is>
          <t>+40 saveurs</t>
        </is>
      </c>
      <c r="AS7" s="10" t="inlineStr">
        <is>
          <t>+40 saveurs (Choco Brownie, Vanille, Fraise, Neutre...)</t>
        </is>
      </c>
      <c r="AT7" s="10" t="inlineStr">
        <is>
          <t>+40 saveurs</t>
        </is>
      </c>
      <c r="AU7" s="10" t="inlineStr">
        <is>
          <t>sans arôme</t>
        </is>
      </c>
      <c r="AV7" s="10" t="inlineStr">
        <is>
          <t>Fraise, Pastèque, Limonade, Tropical...</t>
        </is>
      </c>
      <c r="AW7" s="10" t="inlineStr">
        <is>
          <t>brownie au chocolat, cappuccino, cookies et crème, vanille, chocolat blanc aux framboises</t>
        </is>
      </c>
      <c r="AX7" s="10" t="inlineStr">
        <is>
          <t>chocolat, chocolat noir, double chocolat, vanille, cappuccino</t>
        </is>
      </c>
      <c r="AY7" s="10" t="inlineStr">
        <is>
          <t>chocolat, chocolat noir, chocolat au lait, brownie au chocolat, vanille, cookies et crème</t>
        </is>
      </c>
      <c r="AZ7" s="10" t="inlineStr">
        <is>
          <t>chocolat, chocolat noir, vanille, cookies et crème, brownie au chocolat</t>
        </is>
      </c>
      <c r="BA7" s="10" t="inlineStr">
        <is>
          <t>chocolat, brownie au chocolat, chocolat blanc, vanille, fraise</t>
        </is>
      </c>
      <c r="BB7" s="10" t="inlineStr">
        <is>
          <t>vanille, chocolat, fraise, cookies et crème</t>
        </is>
      </c>
      <c r="BC7" s="10" t="inlineStr">
        <is>
          <t>cinnamon cereal, chocolate, vanilla, strawberry</t>
        </is>
      </c>
      <c r="BD7" s="10" t="inlineStr">
        <is>
          <t>salted dark chocolate, vanilla milk, white chocolate pistachio, almond coconut, cinnamon cereal</t>
        </is>
      </c>
      <c r="BE7" s="10" t="inlineStr">
        <is>
          <t>vanilla, chocolate, strawberry</t>
        </is>
      </c>
      <c r="BF7" s="10" t="inlineStr">
        <is>
          <t>salted dark chocolate, vanilla milk, almond coconut, cinnamon cereal</t>
        </is>
      </c>
      <c r="BG7" s="10" t="inlineStr">
        <is>
          <t>vanilla, chocolate, strawberry</t>
        </is>
      </c>
      <c r="BH7" s="10" t="inlineStr">
        <is>
          <t>chocolat, chocolat blanc, vanille, caramel catalan, banane, black biscuit</t>
        </is>
      </c>
      <c r="BI7" s="10" t="inlineStr">
        <is>
          <t>chocolat, chocolat blanc, vanille, caramel catalan, banane</t>
        </is>
      </c>
      <c r="BJ7" s="10" t="inlineStr">
        <is>
          <t>chocolat, vanille bourbon, fraise, noisettes, beurre de cacahuète au chocolat, cookies &amp; cream</t>
        </is>
      </c>
      <c r="BK7" s="10" t="inlineStr">
        <is>
          <t>chocolat, vanille bourbon, fraise, noisettes, cookies &amp; cream</t>
        </is>
      </c>
      <c r="BL7" s="10" t="inlineStr">
        <is>
          <t>chocolat, vanille bourbon, fraise, noisettes, cookies &amp; cream</t>
        </is>
      </c>
    </row>
    <row r="8">
      <c r="A8" s="4" t="inlineStr">
        <is>
          <t>Origine lait</t>
        </is>
      </c>
      <c r="B8" s="9" t="inlineStr">
        <is>
          <t>France</t>
        </is>
      </c>
      <c r="C8" s="9" t="inlineStr">
        <is>
          <t>France</t>
        </is>
      </c>
      <c r="D8" s="9" t="inlineStr">
        <is>
          <t>France</t>
        </is>
      </c>
      <c r="E8" s="9" t="inlineStr">
        <is>
          <t>UE</t>
        </is>
      </c>
      <c r="F8" s="9" t="inlineStr">
        <is>
          <t>UE</t>
        </is>
      </c>
      <c r="G8" s="10" t="inlineStr">
        <is>
          <t>France (pâturages)</t>
        </is>
      </c>
      <c r="H8" s="10" t="inlineStr">
        <is>
          <t>France (pâturages)</t>
        </is>
      </c>
      <c r="I8" s="10" t="inlineStr">
        <is>
          <t>France (pâturages)</t>
        </is>
      </c>
      <c r="J8" s="10" t="inlineStr">
        <is>
          <t>France (Lactalis)</t>
        </is>
      </c>
      <c r="K8" s="10" t="inlineStr">
        <is>
          <t>France (Lactalis)</t>
        </is>
      </c>
      <c r="L8" s="10" t="inlineStr">
        <is>
          <t>France (Lactalis)</t>
        </is>
      </c>
      <c r="M8" s="10" t="inlineStr">
        <is>
          <t>France (Lactalis)</t>
        </is>
      </c>
      <c r="N8" s="10" t="inlineStr">
        <is>
          <t>France (Lactalis)</t>
        </is>
      </c>
      <c r="O8" s="10" t="inlineStr">
        <is>
          <t>France (Lactalis)</t>
        </is>
      </c>
      <c r="P8" s="10" t="inlineStr">
        <is>
          <t>France (Lactalis)</t>
        </is>
      </c>
      <c r="Q8" s="10" t="inlineStr">
        <is>
          <t>France (Lactalis)</t>
        </is>
      </c>
      <c r="R8" s="10" t="inlineStr">
        <is>
          <t>France</t>
        </is>
      </c>
      <c r="S8" s="10" t="inlineStr">
        <is>
          <t>France (pâturages)</t>
        </is>
      </c>
      <c r="T8" s="10" t="inlineStr">
        <is>
          <t>France</t>
        </is>
      </c>
      <c r="U8" s="10" t="n"/>
      <c r="V8" s="10" t="n"/>
      <c r="W8" s="10" t="n"/>
      <c r="X8" s="10" t="n"/>
      <c r="Y8" s="10" t="n"/>
      <c r="Z8" s="10" t="n"/>
      <c r="AA8" s="10" t="n"/>
      <c r="AB8" s="10" t="n"/>
      <c r="AC8" s="10" t="n"/>
      <c r="AD8" s="10" t="n"/>
      <c r="AE8" s="10" t="n"/>
      <c r="AF8" s="10" t="n"/>
      <c r="AG8" s="10" t="n"/>
      <c r="AH8" s="10" t="n"/>
      <c r="AI8" s="10" t="inlineStr">
        <is>
          <t>UE (NL, IE, DK)</t>
        </is>
      </c>
      <c r="AJ8" s="10" t="inlineStr">
        <is>
          <t>UE (NL, IE, DK)</t>
        </is>
      </c>
      <c r="AK8" s="10" t="inlineStr">
        <is>
          <t>UE</t>
        </is>
      </c>
      <c r="AL8" s="10" t="inlineStr">
        <is>
          <t>UE</t>
        </is>
      </c>
      <c r="AM8" s="10" t="inlineStr">
        <is>
          <t>UE</t>
        </is>
      </c>
      <c r="AN8" s="10" t="inlineStr">
        <is>
          <t>UE</t>
        </is>
      </c>
      <c r="AO8" s="10" t="inlineStr">
        <is>
          <t>UE</t>
        </is>
      </c>
      <c r="AP8" s="10" t="inlineStr">
        <is>
          <t>UE</t>
        </is>
      </c>
      <c r="AQ8" s="10" t="inlineStr">
        <is>
          <t>UE</t>
        </is>
      </c>
      <c r="AR8" s="10" t="inlineStr">
        <is>
          <t>UE</t>
        </is>
      </c>
      <c r="AS8" s="10" t="inlineStr">
        <is>
          <t>UE (UK, IE, NL...)</t>
        </is>
      </c>
      <c r="AT8" s="10" t="inlineStr">
        <is>
          <t>UE</t>
        </is>
      </c>
      <c r="AU8" s="10" t="inlineStr">
        <is>
          <t>UE</t>
        </is>
      </c>
      <c r="AV8" s="10" t="inlineStr">
        <is>
          <t>UE</t>
        </is>
      </c>
      <c r="AW8" s="10" t="n"/>
      <c r="AX8" s="10" t="n"/>
      <c r="AY8" s="10" t="n"/>
      <c r="AZ8" s="10" t="n"/>
      <c r="BA8" s="10" t="n"/>
      <c r="BB8" s="10" t="inlineStr">
        <is>
          <t>Pâturages (vaches en plein air)</t>
        </is>
      </c>
      <c r="BC8" s="10" t="n"/>
      <c r="BD8" s="10" t="n"/>
      <c r="BE8" s="10" t="n"/>
      <c r="BF8" s="10" t="n"/>
      <c r="BG8" s="10" t="n"/>
      <c r="BH8" s="10" t="n"/>
      <c r="BI8" s="10" t="n"/>
      <c r="BJ8" s="10" t="n"/>
      <c r="BK8" s="10" t="n"/>
      <c r="BL8" s="10" t="n"/>
    </row>
    <row r="9">
      <c r="A9" s="4" t="inlineStr">
        <is>
          <t>Certifications</t>
        </is>
      </c>
      <c r="B9" s="9" t="inlineStr"/>
      <c r="C9" s="9" t="inlineStr"/>
      <c r="D9" s="9" t="inlineStr"/>
      <c r="E9" s="9" t="inlineStr">
        <is>
          <t>Creapure®, Peptan®</t>
        </is>
      </c>
      <c r="F9" s="9" t="inlineStr">
        <is>
          <t>Creapure®, Peptan®</t>
        </is>
      </c>
      <c r="G9" s="10" t="inlineStr">
        <is>
          <t>EN 17444</t>
        </is>
      </c>
      <c r="H9" s="10" t="inlineStr">
        <is>
          <t>EN 17444</t>
        </is>
      </c>
      <c r="I9" s="10" t="inlineStr">
        <is>
          <t>EN 17444</t>
        </is>
      </c>
      <c r="J9" s="10" t="inlineStr">
        <is>
          <t>Certifié, lait Lactalis FR</t>
        </is>
      </c>
      <c r="K9" s="10" t="inlineStr">
        <is>
          <t>Certifié, lait Lactalis FR</t>
        </is>
      </c>
      <c r="L9" s="10" t="inlineStr">
        <is>
          <t>Certifié, lait Lactalis FR</t>
        </is>
      </c>
      <c r="M9" s="10" t="inlineStr">
        <is>
          <t>Certifié, lait Lactalis FR</t>
        </is>
      </c>
      <c r="N9" s="10" t="inlineStr">
        <is>
          <t>Certifié, lait Lactalis FR</t>
        </is>
      </c>
      <c r="O9" s="10" t="inlineStr">
        <is>
          <t>Certifié, lait Lactalis FR</t>
        </is>
      </c>
      <c r="P9" s="10" t="inlineStr">
        <is>
          <t>Certifié, lait Lactalis FR</t>
        </is>
      </c>
      <c r="Q9" s="10" t="inlineStr">
        <is>
          <t>Certifié, lait Lactalis FR</t>
        </is>
      </c>
      <c r="R9" s="10" t="inlineStr"/>
      <c r="S9" s="10" t="inlineStr"/>
      <c r="T9" s="10" t="inlineStr">
        <is>
          <t>Testée labo indépendant</t>
        </is>
      </c>
      <c r="U9" s="10" t="inlineStr">
        <is>
          <t>Nutricontrole</t>
        </is>
      </c>
      <c r="V9" s="10" t="inlineStr">
        <is>
          <t>Nutricontrole</t>
        </is>
      </c>
      <c r="W9" s="10" t="inlineStr">
        <is>
          <t>Nutricontrole</t>
        </is>
      </c>
      <c r="X9" s="10" t="inlineStr">
        <is>
          <t>Nutricontrole</t>
        </is>
      </c>
      <c r="Y9" s="10" t="inlineStr">
        <is>
          <t>Nutricontrole</t>
        </is>
      </c>
      <c r="Z9" s="10" t="inlineStr">
        <is>
          <t>Nutricontrole</t>
        </is>
      </c>
      <c r="AA9" s="10" t="inlineStr">
        <is>
          <t>Nutricontrole</t>
        </is>
      </c>
      <c r="AB9" s="10" t="inlineStr">
        <is>
          <t>Nutricontrole</t>
        </is>
      </c>
      <c r="AC9" s="10" t="inlineStr">
        <is>
          <t>Marque N°1 en pharmacie</t>
        </is>
      </c>
      <c r="AD9" s="10" t="inlineStr">
        <is>
          <t>Marque N°1 en pharmacie</t>
        </is>
      </c>
      <c r="AE9" s="10" t="inlineStr">
        <is>
          <t>Marque N°1 en pharmacie</t>
        </is>
      </c>
      <c r="AF9" s="10" t="inlineStr">
        <is>
          <t>Marque N°1 en pharmacie</t>
        </is>
      </c>
      <c r="AG9" s="10" t="inlineStr">
        <is>
          <t>Marque N°1 en pharmacie</t>
        </is>
      </c>
      <c r="AH9" s="10" t="inlineStr">
        <is>
          <t>Marque N°1 en pharmacie</t>
        </is>
      </c>
      <c r="AI9" s="10" t="inlineStr">
        <is>
          <t>IFS Food, EN 17444</t>
        </is>
      </c>
      <c r="AJ9" s="10" t="inlineStr">
        <is>
          <t>IFS Food, EN 17444</t>
        </is>
      </c>
      <c r="AK9" s="10" t="inlineStr">
        <is>
          <t>Informed Sport</t>
        </is>
      </c>
      <c r="AL9" s="10" t="inlineStr">
        <is>
          <t>Informed Sport</t>
        </is>
      </c>
      <c r="AM9" s="10" t="inlineStr">
        <is>
          <t>Informed Sport</t>
        </is>
      </c>
      <c r="AN9" s="10" t="inlineStr">
        <is>
          <t>Informed Sport</t>
        </is>
      </c>
      <c r="AO9" s="10" t="inlineStr">
        <is>
          <t>Informed Sport</t>
        </is>
      </c>
      <c r="AP9" s="10" t="inlineStr">
        <is>
          <t>Informed Sport</t>
        </is>
      </c>
      <c r="AQ9" s="10" t="inlineStr">
        <is>
          <t>Informed Choice</t>
        </is>
      </c>
      <c r="AR9" s="10" t="inlineStr">
        <is>
          <t>Informed Choice</t>
        </is>
      </c>
      <c r="AS9" s="10" t="inlineStr">
        <is>
          <t>Informed Choice</t>
        </is>
      </c>
      <c r="AT9" s="10" t="inlineStr">
        <is>
          <t>Informed Choice</t>
        </is>
      </c>
      <c r="AU9" s="10" t="inlineStr">
        <is>
          <t>Informed Choice</t>
        </is>
      </c>
      <c r="AV9" s="10" t="inlineStr">
        <is>
          <t>Informed Choice</t>
        </is>
      </c>
      <c r="AW9" s="10" t="inlineStr"/>
      <c r="AX9" s="10" t="inlineStr"/>
      <c r="AY9" s="10" t="inlineStr"/>
      <c r="AZ9" s="10" t="inlineStr"/>
      <c r="BA9" s="10" t="inlineStr"/>
      <c r="BB9" s="10" t="inlineStr"/>
      <c r="BC9" s="10" t="inlineStr">
        <is>
          <t>Laborgeprüft</t>
        </is>
      </c>
      <c r="BD9" s="10" t="inlineStr">
        <is>
          <t>Laborgeprüft</t>
        </is>
      </c>
      <c r="BE9" s="10" t="inlineStr">
        <is>
          <t>Laborgeprüft</t>
        </is>
      </c>
      <c r="BF9" s="10" t="inlineStr">
        <is>
          <t>Laborgeprüft</t>
        </is>
      </c>
      <c r="BG9" s="10" t="inlineStr">
        <is>
          <t>Laborgeprüft</t>
        </is>
      </c>
      <c r="BH9" s="10" t="inlineStr"/>
      <c r="BI9" s="10" t="inlineStr"/>
      <c r="BJ9" s="10" t="inlineStr"/>
      <c r="BK9" s="10" t="inlineStr"/>
      <c r="BL9" s="10" t="inlineStr"/>
    </row>
    <row r="10">
      <c r="A10" s="4" t="inlineStr">
        <is>
          <t>Native / Fromagère</t>
        </is>
      </c>
      <c r="B10" s="9" t="inlineStr">
        <is>
          <t>native</t>
        </is>
      </c>
      <c r="C10" s="9" t="inlineStr">
        <is>
          <t>native</t>
        </is>
      </c>
      <c r="D10" s="9" t="inlineStr">
        <is>
          <t>native</t>
        </is>
      </c>
      <c r="E10" s="9" t="inlineStr">
        <is>
          <t>fromagere</t>
        </is>
      </c>
      <c r="F10" s="9" t="inlineStr">
        <is>
          <t>fromagere</t>
        </is>
      </c>
      <c r="G10" s="10" t="inlineStr">
        <is>
          <t>native</t>
        </is>
      </c>
      <c r="H10" s="10" t="inlineStr">
        <is>
          <t>native</t>
        </is>
      </c>
      <c r="I10" s="10" t="inlineStr">
        <is>
          <t>native</t>
        </is>
      </c>
      <c r="J10" s="10" t="inlineStr">
        <is>
          <t>native</t>
        </is>
      </c>
      <c r="K10" s="10" t="inlineStr">
        <is>
          <t>native</t>
        </is>
      </c>
      <c r="L10" s="10" t="inlineStr">
        <is>
          <t>native</t>
        </is>
      </c>
      <c r="M10" s="10" t="inlineStr">
        <is>
          <t>native</t>
        </is>
      </c>
      <c r="N10" s="10" t="inlineStr">
        <is>
          <t>native</t>
        </is>
      </c>
      <c r="O10" s="10" t="inlineStr">
        <is>
          <t>native</t>
        </is>
      </c>
      <c r="P10" s="10" t="inlineStr">
        <is>
          <t>native</t>
        </is>
      </c>
      <c r="Q10" s="10" t="inlineStr">
        <is>
          <t>native</t>
        </is>
      </c>
      <c r="R10" s="10" t="inlineStr">
        <is>
          <t>native</t>
        </is>
      </c>
      <c r="S10" s="10" t="inlineStr">
        <is>
          <t>native</t>
        </is>
      </c>
      <c r="T10" s="10" t="inlineStr">
        <is>
          <t>native</t>
        </is>
      </c>
      <c r="U10" s="10" t="inlineStr">
        <is>
          <t>fromagere</t>
        </is>
      </c>
      <c r="V10" s="10" t="inlineStr">
        <is>
          <t>fromagere</t>
        </is>
      </c>
      <c r="W10" s="10" t="inlineStr">
        <is>
          <t>fromagere</t>
        </is>
      </c>
      <c r="X10" s="10" t="inlineStr">
        <is>
          <t>fromagere</t>
        </is>
      </c>
      <c r="Y10" s="10" t="inlineStr">
        <is>
          <t>fromagere</t>
        </is>
      </c>
      <c r="Z10" s="10" t="inlineStr">
        <is>
          <t>fromagere</t>
        </is>
      </c>
      <c r="AA10" s="10" t="inlineStr">
        <is>
          <t>fromagere</t>
        </is>
      </c>
      <c r="AB10" s="10" t="inlineStr">
        <is>
          <t>fromagere</t>
        </is>
      </c>
      <c r="AC10" s="10" t="inlineStr">
        <is>
          <t>fromagere</t>
        </is>
      </c>
      <c r="AD10" s="10" t="inlineStr">
        <is>
          <t>fromagere</t>
        </is>
      </c>
      <c r="AE10" s="10" t="inlineStr">
        <is>
          <t>fromagere</t>
        </is>
      </c>
      <c r="AF10" s="10" t="inlineStr">
        <is>
          <t>fromagere</t>
        </is>
      </c>
      <c r="AG10" s="10" t="inlineStr">
        <is>
          <t>fromagere</t>
        </is>
      </c>
      <c r="AH10" s="10" t="inlineStr">
        <is>
          <t>fromagere</t>
        </is>
      </c>
      <c r="AI10" s="10" t="inlineStr">
        <is>
          <t>fromagere</t>
        </is>
      </c>
      <c r="AJ10" s="10" t="inlineStr">
        <is>
          <t>fromagere</t>
        </is>
      </c>
      <c r="AK10" s="10" t="inlineStr">
        <is>
          <t>fromagere</t>
        </is>
      </c>
      <c r="AL10" s="10" t="inlineStr">
        <is>
          <t>fromagere</t>
        </is>
      </c>
      <c r="AM10" s="10" t="inlineStr">
        <is>
          <t>fromagere</t>
        </is>
      </c>
      <c r="AN10" s="10" t="inlineStr">
        <is>
          <t>fromagere</t>
        </is>
      </c>
      <c r="AO10" s="10" t="inlineStr">
        <is>
          <t>fromagere</t>
        </is>
      </c>
      <c r="AP10" s="10" t="inlineStr">
        <is>
          <t>fromagere</t>
        </is>
      </c>
      <c r="AQ10" s="10" t="inlineStr">
        <is>
          <t>fromagere</t>
        </is>
      </c>
      <c r="AR10" s="10" t="inlineStr">
        <is>
          <t>fromagere</t>
        </is>
      </c>
      <c r="AS10" s="10" t="inlineStr">
        <is>
          <t>fromagere</t>
        </is>
      </c>
      <c r="AT10" s="10" t="inlineStr">
        <is>
          <t>fromagere</t>
        </is>
      </c>
      <c r="AU10" s="10" t="inlineStr">
        <is>
          <t>fromagere</t>
        </is>
      </c>
      <c r="AV10" s="10" t="inlineStr">
        <is>
          <t>fromagere</t>
        </is>
      </c>
      <c r="AW10" s="10" t="inlineStr">
        <is>
          <t>fromagere</t>
        </is>
      </c>
      <c r="AX10" s="10" t="inlineStr">
        <is>
          <t>fromagere</t>
        </is>
      </c>
      <c r="AY10" s="10" t="inlineStr">
        <is>
          <t>fromagere</t>
        </is>
      </c>
      <c r="AZ10" s="10" t="inlineStr">
        <is>
          <t>fromagere</t>
        </is>
      </c>
      <c r="BA10" s="10" t="inlineStr">
        <is>
          <t>fromagere</t>
        </is>
      </c>
      <c r="BB10" s="10" t="inlineStr">
        <is>
          <t>fromagere</t>
        </is>
      </c>
      <c r="BC10" s="10" t="inlineStr">
        <is>
          <t>fromagere</t>
        </is>
      </c>
      <c r="BD10" s="10" t="inlineStr">
        <is>
          <t>fromagere</t>
        </is>
      </c>
      <c r="BE10" s="10" t="inlineStr">
        <is>
          <t>fromagere</t>
        </is>
      </c>
      <c r="BF10" s="10" t="inlineStr">
        <is>
          <t>fromagere</t>
        </is>
      </c>
      <c r="BG10" s="10" t="inlineStr">
        <is>
          <t>fromagere</t>
        </is>
      </c>
      <c r="BH10" s="10" t="inlineStr">
        <is>
          <t>fromagere</t>
        </is>
      </c>
      <c r="BI10" s="10" t="inlineStr">
        <is>
          <t>fromagere</t>
        </is>
      </c>
      <c r="BJ10" s="10" t="inlineStr">
        <is>
          <t>fromagere</t>
        </is>
      </c>
      <c r="BK10" s="10" t="inlineStr">
        <is>
          <t>fromagere</t>
        </is>
      </c>
      <c r="BL10" s="10" t="inlineStr">
        <is>
          <t>fromagere</t>
        </is>
      </c>
    </row>
    <row r="11">
      <c r="A11" s="7" t="inlineStr">
        <is>
          <t>FORMULE &amp; NUTRITION</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c r="AY11" s="8" t="n"/>
      <c r="AZ11" s="8" t="n"/>
      <c r="BA11" s="8" t="n"/>
      <c r="BB11" s="8" t="n"/>
      <c r="BC11" s="8" t="n"/>
      <c r="BD11" s="8" t="n"/>
      <c r="BE11" s="8" t="n"/>
      <c r="BF11" s="8" t="n"/>
      <c r="BG11" s="8" t="n"/>
      <c r="BH11" s="8" t="n"/>
      <c r="BI11" s="8" t="n"/>
      <c r="BJ11" s="8" t="n"/>
      <c r="BK11" s="8" t="n"/>
      <c r="BL11" s="8" t="n"/>
    </row>
    <row r="12">
      <c r="A12" s="4" t="inlineStr">
        <is>
          <t>% protéines / 100g</t>
        </is>
      </c>
      <c r="B12" s="9" t="n">
        <v>85</v>
      </c>
      <c r="C12" s="9" t="n">
        <v>85</v>
      </c>
      <c r="D12" s="9" t="n">
        <v>85</v>
      </c>
      <c r="E12" s="9" t="n">
        <v>60</v>
      </c>
      <c r="F12" s="9" t="n">
        <v>60</v>
      </c>
      <c r="G12" s="10" t="n">
        <v>94</v>
      </c>
      <c r="H12" s="10" t="n">
        <v>94</v>
      </c>
      <c r="I12" s="10" t="n">
        <v>85</v>
      </c>
      <c r="J12" s="10" t="n">
        <v>87</v>
      </c>
      <c r="K12" s="10" t="n">
        <v>85</v>
      </c>
      <c r="L12" s="10" t="n">
        <v>87</v>
      </c>
      <c r="M12" s="10" t="n">
        <v>87</v>
      </c>
      <c r="N12" s="10" t="n">
        <v>80</v>
      </c>
      <c r="O12" s="10" t="n">
        <v>80</v>
      </c>
      <c r="P12" s="10" t="n">
        <v>80</v>
      </c>
      <c r="Q12" s="10" t="n">
        <v>80</v>
      </c>
      <c r="R12" s="10" t="n">
        <v>94</v>
      </c>
      <c r="S12" s="10" t="n">
        <v>75</v>
      </c>
      <c r="T12" s="10" t="n">
        <v>94</v>
      </c>
      <c r="U12" s="10" t="n">
        <v>83</v>
      </c>
      <c r="V12" s="10" t="n">
        <v>83</v>
      </c>
      <c r="W12" s="10" t="n">
        <v>83</v>
      </c>
      <c r="X12" s="10" t="n">
        <v>73</v>
      </c>
      <c r="Y12" s="10" t="n">
        <v>73</v>
      </c>
      <c r="Z12" s="10" t="n">
        <v>75</v>
      </c>
      <c r="AA12" s="10" t="n">
        <v>81</v>
      </c>
      <c r="AB12" s="10" t="n">
        <v>81</v>
      </c>
      <c r="AC12" s="10" t="n">
        <v>81</v>
      </c>
      <c r="AD12" s="10" t="n">
        <v>79</v>
      </c>
      <c r="AE12" s="10" t="n">
        <v>77</v>
      </c>
      <c r="AF12" s="10" t="n">
        <v>73</v>
      </c>
      <c r="AG12" s="10" t="n">
        <v>77</v>
      </c>
      <c r="AH12" s="10" t="n">
        <v>77</v>
      </c>
      <c r="AI12" s="10" t="n">
        <v>82</v>
      </c>
      <c r="AJ12" s="10" t="n">
        <v>70</v>
      </c>
      <c r="AK12" s="10" t="n">
        <v>90</v>
      </c>
      <c r="AL12" s="10" t="n">
        <v>90</v>
      </c>
      <c r="AM12" s="10" t="n">
        <v>82</v>
      </c>
      <c r="AN12" s="10" t="n">
        <v>82</v>
      </c>
      <c r="AO12" s="10" t="n">
        <v>82</v>
      </c>
      <c r="AP12" s="10" t="n">
        <v>72</v>
      </c>
      <c r="AQ12" s="10" t="n">
        <v>90</v>
      </c>
      <c r="AR12" s="10" t="n">
        <v>90</v>
      </c>
      <c r="AS12" s="10" t="n">
        <v>82</v>
      </c>
      <c r="AT12" s="10" t="n">
        <v>82</v>
      </c>
      <c r="AU12" s="10" t="n">
        <v>82</v>
      </c>
      <c r="AV12" s="10" t="n">
        <v>68</v>
      </c>
      <c r="AW12" s="10" t="n">
        <v>80</v>
      </c>
      <c r="AX12" s="10" t="n">
        <v>86</v>
      </c>
      <c r="AY12" s="10" t="n">
        <v>71</v>
      </c>
      <c r="AZ12" s="10" t="n">
        <v>71</v>
      </c>
      <c r="BA12" s="10" t="n">
        <v>88</v>
      </c>
      <c r="BB12" s="10" t="n">
        <v>81</v>
      </c>
      <c r="BC12" s="10" t="n">
        <v>84</v>
      </c>
      <c r="BD12" s="10" t="n">
        <v>73</v>
      </c>
      <c r="BE12" s="10" t="n">
        <v>74</v>
      </c>
      <c r="BF12" s="10" t="n">
        <v>73</v>
      </c>
      <c r="BG12" s="10" t="n">
        <v>74</v>
      </c>
      <c r="BH12" s="10" t="n">
        <v>84</v>
      </c>
      <c r="BI12" s="10" t="n">
        <v>84</v>
      </c>
      <c r="BJ12" s="10" t="n">
        <v>76</v>
      </c>
      <c r="BK12" s="10" t="n">
        <v>76</v>
      </c>
      <c r="BL12" s="10" t="n">
        <v>76</v>
      </c>
    </row>
    <row r="13">
      <c r="A13" s="4" t="inlineStr">
        <is>
          <t>Protéines / portion (g)</t>
        </is>
      </c>
      <c r="B13" s="9" t="n">
        <v>25.5</v>
      </c>
      <c r="C13" s="9" t="n">
        <v>25.5</v>
      </c>
      <c r="D13" s="9" t="n">
        <v>25.5</v>
      </c>
      <c r="E13" s="9" t="n">
        <v>21</v>
      </c>
      <c r="F13" s="9" t="n">
        <v>21</v>
      </c>
      <c r="G13" s="10" t="n">
        <v>25</v>
      </c>
      <c r="H13" s="10" t="n">
        <v>25</v>
      </c>
      <c r="I13" s="10" t="n">
        <v>25</v>
      </c>
      <c r="J13" s="10" t="n">
        <v>25</v>
      </c>
      <c r="K13" s="10" t="n">
        <v>24</v>
      </c>
      <c r="L13" s="10" t="n">
        <v>25</v>
      </c>
      <c r="M13" s="10" t="n">
        <v>25</v>
      </c>
      <c r="N13" s="10" t="n">
        <v>24</v>
      </c>
      <c r="O13" s="10" t="n">
        <v>24</v>
      </c>
      <c r="P13" s="10" t="n">
        <v>24</v>
      </c>
      <c r="Q13" s="10" t="n">
        <v>24</v>
      </c>
      <c r="R13" s="10" t="n">
        <v>28</v>
      </c>
      <c r="S13" s="10" t="n">
        <v>22.1</v>
      </c>
      <c r="T13" s="10" t="n">
        <v>28.2</v>
      </c>
      <c r="U13" s="10" t="n">
        <v>25</v>
      </c>
      <c r="V13" s="10" t="n">
        <v>25</v>
      </c>
      <c r="W13" s="10" t="n">
        <v>25</v>
      </c>
      <c r="X13" s="10" t="n">
        <v>22</v>
      </c>
      <c r="Y13" s="10" t="n">
        <v>22</v>
      </c>
      <c r="Z13" s="10" t="n">
        <v>22.5</v>
      </c>
      <c r="AA13" s="10" t="n">
        <v>24.4</v>
      </c>
      <c r="AB13" s="10" t="n">
        <v>24.4</v>
      </c>
      <c r="AC13" s="10" t="n">
        <v>25</v>
      </c>
      <c r="AD13" s="10" t="n">
        <v>24</v>
      </c>
      <c r="AE13" s="10" t="n">
        <v>31</v>
      </c>
      <c r="AF13" s="10" t="n">
        <v>44</v>
      </c>
      <c r="AG13" s="10" t="n">
        <v>31</v>
      </c>
      <c r="AH13" s="10" t="n">
        <v>31</v>
      </c>
      <c r="AI13" s="10" t="n">
        <v>25</v>
      </c>
      <c r="AJ13" s="10" t="n">
        <v>21</v>
      </c>
      <c r="AK13" s="10" t="n">
        <v>26</v>
      </c>
      <c r="AL13" s="10" t="n">
        <v>26</v>
      </c>
      <c r="AM13" s="10" t="n">
        <v>22</v>
      </c>
      <c r="AN13" s="10" t="n">
        <v>22</v>
      </c>
      <c r="AO13" s="10" t="n">
        <v>22</v>
      </c>
      <c r="AP13" s="10" t="n">
        <v>20</v>
      </c>
      <c r="AQ13" s="10" t="n">
        <v>25</v>
      </c>
      <c r="AR13" s="10" t="n">
        <v>25</v>
      </c>
      <c r="AS13" s="10" t="n">
        <v>23</v>
      </c>
      <c r="AT13" s="10" t="n">
        <v>23</v>
      </c>
      <c r="AU13" s="10" t="n">
        <v>23</v>
      </c>
      <c r="AV13" s="10" t="n">
        <v>20</v>
      </c>
      <c r="AW13" s="10" t="n">
        <v>24</v>
      </c>
      <c r="AX13" s="10" t="n">
        <v>25.8</v>
      </c>
      <c r="AY13" s="10" t="n">
        <v>21.3</v>
      </c>
      <c r="AZ13" s="10" t="n">
        <v>21.3</v>
      </c>
      <c r="BA13" s="10" t="n">
        <v>26.4</v>
      </c>
      <c r="BB13" s="10" t="n">
        <v>24.3</v>
      </c>
      <c r="BC13" s="10" t="n">
        <v>25.2</v>
      </c>
      <c r="BD13" s="10" t="n">
        <v>21.9</v>
      </c>
      <c r="BE13" s="10" t="n">
        <v>22.2</v>
      </c>
      <c r="BF13" s="10" t="n">
        <v>21.9</v>
      </c>
      <c r="BG13" s="10" t="n">
        <v>22.2</v>
      </c>
      <c r="BH13" s="10" t="n">
        <v>21</v>
      </c>
      <c r="BI13" s="10" t="n">
        <v>21</v>
      </c>
      <c r="BJ13" s="10" t="n">
        <v>21</v>
      </c>
      <c r="BK13" s="10" t="n">
        <v>21</v>
      </c>
      <c r="BL13" s="10" t="n">
        <v>21</v>
      </c>
    </row>
    <row r="14">
      <c r="A14" s="4" t="inlineStr">
        <is>
          <t>Taille portion (g)</t>
        </is>
      </c>
      <c r="B14" s="9" t="n">
        <v>30</v>
      </c>
      <c r="C14" s="9" t="n">
        <v>30</v>
      </c>
      <c r="D14" s="9" t="n">
        <v>30</v>
      </c>
      <c r="E14" s="9" t="n">
        <v>35</v>
      </c>
      <c r="F14" s="9" t="n">
        <v>35</v>
      </c>
      <c r="G14" s="10" t="n">
        <v>30</v>
      </c>
      <c r="H14" s="10" t="n">
        <v>30</v>
      </c>
      <c r="I14" s="10" t="n">
        <v>30</v>
      </c>
      <c r="J14" s="10" t="n">
        <v>30</v>
      </c>
      <c r="K14" s="10" t="n">
        <v>30</v>
      </c>
      <c r="L14" s="10" t="n">
        <v>30</v>
      </c>
      <c r="M14" s="10" t="n">
        <v>30</v>
      </c>
      <c r="N14" s="10" t="n">
        <v>30</v>
      </c>
      <c r="O14" s="10" t="n">
        <v>30</v>
      </c>
      <c r="P14" s="10" t="n">
        <v>30</v>
      </c>
      <c r="Q14" s="10" t="n">
        <v>30</v>
      </c>
      <c r="R14" s="10" t="n">
        <v>30</v>
      </c>
      <c r="S14" s="10" t="n">
        <v>30</v>
      </c>
      <c r="T14" s="10" t="n">
        <v>30</v>
      </c>
      <c r="U14" s="10" t="n">
        <v>30</v>
      </c>
      <c r="V14" s="10" t="n">
        <v>30</v>
      </c>
      <c r="W14" s="10" t="n">
        <v>30</v>
      </c>
      <c r="X14" s="10" t="n">
        <v>30</v>
      </c>
      <c r="Y14" s="10" t="n">
        <v>30</v>
      </c>
      <c r="Z14" s="10" t="n">
        <v>30</v>
      </c>
      <c r="AA14" s="10" t="n">
        <v>30</v>
      </c>
      <c r="AB14" s="10" t="n">
        <v>30</v>
      </c>
      <c r="AC14" s="10" t="n">
        <v>30</v>
      </c>
      <c r="AD14" s="10" t="n">
        <v>30</v>
      </c>
      <c r="AE14" s="10" t="n">
        <v>40</v>
      </c>
      <c r="AF14" s="10" t="n">
        <v>60</v>
      </c>
      <c r="AG14" s="10" t="n">
        <v>40</v>
      </c>
      <c r="AH14" s="10" t="n">
        <v>40</v>
      </c>
      <c r="AI14" s="10" t="n">
        <v>30</v>
      </c>
      <c r="AJ14" s="10" t="n">
        <v>30</v>
      </c>
      <c r="AK14" s="10" t="n">
        <v>30</v>
      </c>
      <c r="AL14" s="10" t="n">
        <v>30</v>
      </c>
      <c r="AM14" s="10" t="n">
        <v>30</v>
      </c>
      <c r="AN14" s="10" t="n">
        <v>30</v>
      </c>
      <c r="AO14" s="10" t="n">
        <v>30</v>
      </c>
      <c r="AP14" s="10" t="n">
        <v>30</v>
      </c>
      <c r="AQ14" s="10" t="n">
        <v>25</v>
      </c>
      <c r="AR14" s="10" t="n">
        <v>25</v>
      </c>
      <c r="AS14" s="10" t="n">
        <v>25</v>
      </c>
      <c r="AT14" s="10" t="n">
        <v>25</v>
      </c>
      <c r="AU14" s="10" t="n">
        <v>25</v>
      </c>
      <c r="AV14" s="10" t="n">
        <v>25</v>
      </c>
      <c r="AW14" s="10" t="n">
        <v>30</v>
      </c>
      <c r="AX14" s="10" t="n">
        <v>30</v>
      </c>
      <c r="AY14" s="10" t="n">
        <v>30</v>
      </c>
      <c r="AZ14" s="10" t="n">
        <v>30</v>
      </c>
      <c r="BA14" s="10" t="n">
        <v>30</v>
      </c>
      <c r="BB14" s="10" t="n">
        <v>30</v>
      </c>
      <c r="BC14" s="10" t="n">
        <v>30</v>
      </c>
      <c r="BD14" s="10" t="n">
        <v>30</v>
      </c>
      <c r="BE14" s="10" t="n">
        <v>30</v>
      </c>
      <c r="BF14" s="10" t="n">
        <v>30</v>
      </c>
      <c r="BG14" s="10" t="n">
        <v>30</v>
      </c>
      <c r="BH14" s="10" t="n">
        <v>25</v>
      </c>
      <c r="BI14" s="10" t="n">
        <v>25</v>
      </c>
      <c r="BJ14" s="10" t="n">
        <v>30</v>
      </c>
      <c r="BK14" s="10" t="n">
        <v>30</v>
      </c>
      <c r="BL14" s="10" t="n">
        <v>30</v>
      </c>
    </row>
    <row r="15">
      <c r="A15" s="4" t="inlineStr">
        <is>
          <t>Nb portions / format</t>
        </is>
      </c>
      <c r="B15" s="9" t="n">
        <v>25</v>
      </c>
      <c r="C15" s="9" t="n">
        <v>25</v>
      </c>
      <c r="D15" s="9" t="n">
        <v>25</v>
      </c>
      <c r="E15" s="9" t="n">
        <v>15</v>
      </c>
      <c r="F15" s="9" t="n">
        <v>15</v>
      </c>
      <c r="G15" s="10" t="n">
        <v>25</v>
      </c>
      <c r="H15" s="10" t="n">
        <v>66</v>
      </c>
      <c r="I15" s="10" t="n">
        <v>133</v>
      </c>
      <c r="J15" s="10" t="n">
        <v>16</v>
      </c>
      <c r="K15" s="10" t="n">
        <v>33</v>
      </c>
      <c r="L15" s="10" t="n">
        <v>75</v>
      </c>
      <c r="M15" s="10" t="n">
        <v>133</v>
      </c>
      <c r="N15" s="10" t="n">
        <v>16</v>
      </c>
      <c r="O15" s="10" t="n">
        <v>33</v>
      </c>
      <c r="P15" s="10" t="n">
        <v>75</v>
      </c>
      <c r="Q15" s="10" t="n">
        <v>133</v>
      </c>
      <c r="R15" s="10" t="n">
        <v>30</v>
      </c>
      <c r="S15" s="10" t="n">
        <v>30</v>
      </c>
      <c r="T15" s="10" t="n">
        <v>27</v>
      </c>
      <c r="U15" s="10" t="n">
        <v>16</v>
      </c>
      <c r="V15" s="10" t="n">
        <v>50</v>
      </c>
      <c r="W15" s="10" t="n">
        <v>66</v>
      </c>
      <c r="X15" s="10" t="n">
        <v>16</v>
      </c>
      <c r="Y15" s="10" t="n">
        <v>50</v>
      </c>
      <c r="Z15" s="10" t="n">
        <v>66</v>
      </c>
      <c r="AA15" s="10" t="n">
        <v>25</v>
      </c>
      <c r="AB15" s="10" t="n">
        <v>66</v>
      </c>
      <c r="AC15" s="10" t="n">
        <v>25</v>
      </c>
      <c r="AD15" s="10" t="n">
        <v>25</v>
      </c>
      <c r="AE15" s="10" t="n">
        <v>19</v>
      </c>
      <c r="AF15" s="10" t="n">
        <v>12</v>
      </c>
      <c r="AG15" s="10" t="n">
        <v>21</v>
      </c>
      <c r="AH15" s="10" t="n">
        <v>55</v>
      </c>
      <c r="AI15" s="10" t="n">
        <v>30</v>
      </c>
      <c r="AJ15" s="10" t="n">
        <v>30</v>
      </c>
      <c r="AK15" s="10" t="n">
        <v>33</v>
      </c>
      <c r="AL15" s="10" t="n">
        <v>83</v>
      </c>
      <c r="AM15" s="10" t="n">
        <v>33</v>
      </c>
      <c r="AN15" s="10" t="n">
        <v>83</v>
      </c>
      <c r="AO15" s="10" t="n">
        <v>166</v>
      </c>
      <c r="AP15" s="10" t="n">
        <v>16</v>
      </c>
      <c r="AQ15" s="10" t="n">
        <v>40</v>
      </c>
      <c r="AR15" s="10" t="n">
        <v>100</v>
      </c>
      <c r="AS15" s="10" t="n">
        <v>40</v>
      </c>
      <c r="AT15" s="10" t="n">
        <v>100</v>
      </c>
      <c r="AU15" s="10" t="n">
        <v>200</v>
      </c>
      <c r="AV15" s="10" t="n">
        <v>35</v>
      </c>
      <c r="AW15" s="10" t="n">
        <v>25</v>
      </c>
      <c r="AX15" s="10" t="n">
        <v>33</v>
      </c>
      <c r="AY15" s="10" t="n">
        <v>30</v>
      </c>
      <c r="AZ15" s="10" t="n">
        <v>66</v>
      </c>
      <c r="BA15" s="10" t="n">
        <v>66</v>
      </c>
      <c r="BB15" s="10" t="n">
        <v>25</v>
      </c>
      <c r="BC15" s="10" t="n">
        <v>30</v>
      </c>
      <c r="BD15" s="10" t="n">
        <v>30</v>
      </c>
      <c r="BE15" s="10" t="n">
        <v>33</v>
      </c>
      <c r="BF15" s="10" t="n">
        <v>66</v>
      </c>
      <c r="BG15" s="10" t="n">
        <v>66</v>
      </c>
      <c r="BH15" s="10" t="n">
        <v>36</v>
      </c>
      <c r="BI15" s="10" t="n">
        <v>72</v>
      </c>
      <c r="BJ15" s="10" t="n">
        <v>13</v>
      </c>
      <c r="BK15" s="10" t="n">
        <v>33</v>
      </c>
      <c r="BL15" s="10" t="n">
        <v>66</v>
      </c>
    </row>
    <row r="16">
      <c r="A16" s="4" t="inlineStr">
        <is>
          <t>BCAA / portion (g)</t>
        </is>
      </c>
      <c r="B16" s="9" t="n">
        <v>5.3</v>
      </c>
      <c r="C16" s="9" t="n">
        <v>5.3</v>
      </c>
      <c r="D16" s="9" t="n">
        <v>5.3</v>
      </c>
      <c r="E16" s="9" t="n"/>
      <c r="F16" s="9" t="n"/>
      <c r="G16" s="10" t="n">
        <v>5</v>
      </c>
      <c r="H16" s="10" t="n">
        <v>5</v>
      </c>
      <c r="I16" s="10" t="n">
        <v>5</v>
      </c>
      <c r="J16" s="10" t="n">
        <v>6</v>
      </c>
      <c r="K16" s="10" t="n">
        <v>6</v>
      </c>
      <c r="L16" s="10" t="n">
        <v>6</v>
      </c>
      <c r="M16" s="10" t="n">
        <v>6</v>
      </c>
      <c r="N16" s="10" t="n">
        <v>5</v>
      </c>
      <c r="O16" s="10" t="n">
        <v>5</v>
      </c>
      <c r="P16" s="10" t="n">
        <v>5</v>
      </c>
      <c r="Q16" s="10" t="n">
        <v>5</v>
      </c>
      <c r="R16" s="10" t="n">
        <v>6.9</v>
      </c>
      <c r="S16" s="10" t="n">
        <v>5.1</v>
      </c>
      <c r="T16" s="10" t="n">
        <v>6.6</v>
      </c>
      <c r="U16" s="10" t="n">
        <v>5.66</v>
      </c>
      <c r="V16" s="10" t="n">
        <v>5.66</v>
      </c>
      <c r="W16" s="10" t="n">
        <v>5.66</v>
      </c>
      <c r="X16" s="10" t="n">
        <v>3.74</v>
      </c>
      <c r="Y16" s="10" t="n">
        <v>3.74</v>
      </c>
      <c r="Z16" s="10" t="n"/>
      <c r="AA16" s="10" t="n">
        <v>4.1</v>
      </c>
      <c r="AB16" s="10" t="n">
        <v>4.1</v>
      </c>
      <c r="AC16" s="10" t="n">
        <v>5.5</v>
      </c>
      <c r="AD16" s="10" t="n">
        <v>5.2</v>
      </c>
      <c r="AE16" s="10" t="n">
        <v>7</v>
      </c>
      <c r="AF16" s="10" t="n">
        <v>10</v>
      </c>
      <c r="AG16" s="10" t="n">
        <v>7</v>
      </c>
      <c r="AH16" s="10" t="n">
        <v>7</v>
      </c>
      <c r="AI16" s="10" t="n">
        <v>6.3</v>
      </c>
      <c r="AJ16" s="10" t="n">
        <v>5.2</v>
      </c>
      <c r="AK16" s="10" t="n">
        <v>5.5</v>
      </c>
      <c r="AL16" s="10" t="n">
        <v>5.5</v>
      </c>
      <c r="AM16" s="10" t="n">
        <v>5</v>
      </c>
      <c r="AN16" s="10" t="n">
        <v>5</v>
      </c>
      <c r="AO16" s="10" t="n">
        <v>5</v>
      </c>
      <c r="AP16" s="10" t="n">
        <v>4</v>
      </c>
      <c r="AQ16" s="10" t="n">
        <v>5.5</v>
      </c>
      <c r="AR16" s="10" t="n">
        <v>5.5</v>
      </c>
      <c r="AS16" s="10" t="n">
        <v>4.5</v>
      </c>
      <c r="AT16" s="10" t="n">
        <v>4.5</v>
      </c>
      <c r="AU16" s="10" t="n">
        <v>4.5</v>
      </c>
      <c r="AV16" s="10" t="n">
        <v>4</v>
      </c>
      <c r="AW16" s="10" t="n"/>
      <c r="AX16" s="10" t="n"/>
      <c r="AY16" s="10" t="n"/>
      <c r="AZ16" s="10" t="n"/>
      <c r="BA16" s="10" t="n"/>
      <c r="BB16" s="10" t="n"/>
      <c r="BC16" s="10" t="n">
        <v>6.36</v>
      </c>
      <c r="BD16" s="10" t="n">
        <v>6.93</v>
      </c>
      <c r="BE16" s="10" t="n">
        <v>6.51</v>
      </c>
      <c r="BF16" s="10" t="n">
        <v>6.93</v>
      </c>
      <c r="BG16" s="10" t="n">
        <v>6.51</v>
      </c>
      <c r="BH16" s="10" t="n">
        <v>4.35</v>
      </c>
      <c r="BI16" s="10" t="n">
        <v>4.35</v>
      </c>
      <c r="BJ16" s="10" t="n"/>
      <c r="BK16" s="10" t="n"/>
      <c r="BL16" s="10" t="n"/>
    </row>
    <row r="17">
      <c r="A17" s="4" t="inlineStr">
        <is>
          <t>Glucides / portion (g)</t>
        </is>
      </c>
      <c r="B17" s="9" t="n">
        <v>1</v>
      </c>
      <c r="C17" s="9" t="n">
        <v>1</v>
      </c>
      <c r="D17" s="9" t="n">
        <v>1</v>
      </c>
      <c r="E17" s="9" t="n"/>
      <c r="F17" s="9" t="n"/>
      <c r="G17" s="10" t="n">
        <v>0.3</v>
      </c>
      <c r="H17" s="10" t="n">
        <v>0.3</v>
      </c>
      <c r="I17" s="10" t="n">
        <v>0.3</v>
      </c>
      <c r="J17" s="10" t="n">
        <v>1.5</v>
      </c>
      <c r="K17" s="10" t="n">
        <v>1.5</v>
      </c>
      <c r="L17" s="10" t="n">
        <v>1.5</v>
      </c>
      <c r="M17" s="10" t="n">
        <v>1.5</v>
      </c>
      <c r="N17" s="10" t="n">
        <v>3.5</v>
      </c>
      <c r="O17" s="10" t="n">
        <v>3.5</v>
      </c>
      <c r="P17" s="10" t="n">
        <v>3.5</v>
      </c>
      <c r="Q17" s="10" t="n">
        <v>3.5</v>
      </c>
      <c r="R17" s="10" t="n">
        <v>0.9</v>
      </c>
      <c r="S17" s="10" t="n">
        <v>4</v>
      </c>
      <c r="T17" s="10" t="n">
        <v>0.5</v>
      </c>
      <c r="U17" s="10" t="n">
        <v>0.5</v>
      </c>
      <c r="V17" s="10" t="n">
        <v>0.5</v>
      </c>
      <c r="W17" s="10" t="n">
        <v>0.5</v>
      </c>
      <c r="X17" s="10" t="n"/>
      <c r="Y17" s="10" t="n"/>
      <c r="Z17" s="10" t="n">
        <v>3</v>
      </c>
      <c r="AA17" s="10" t="n">
        <v>1.4</v>
      </c>
      <c r="AB17" s="10" t="n">
        <v>1.4</v>
      </c>
      <c r="AC17" s="10" t="n">
        <v>1.4</v>
      </c>
      <c r="AD17" s="10" t="n">
        <v>0.5</v>
      </c>
      <c r="AE17" s="10" t="n">
        <v>4</v>
      </c>
      <c r="AF17" s="10" t="n">
        <v>4.3</v>
      </c>
      <c r="AG17" s="10" t="n">
        <v>4</v>
      </c>
      <c r="AH17" s="10" t="n">
        <v>4</v>
      </c>
      <c r="AI17" s="10" t="n">
        <v>2.3</v>
      </c>
      <c r="AJ17" s="10" t="n">
        <v>5.1</v>
      </c>
      <c r="AK17" s="10" t="n">
        <v>1.5</v>
      </c>
      <c r="AL17" s="10" t="n">
        <v>1.5</v>
      </c>
      <c r="AM17" s="10" t="n">
        <v>2</v>
      </c>
      <c r="AN17" s="10" t="n">
        <v>2</v>
      </c>
      <c r="AO17" s="10" t="n">
        <v>2</v>
      </c>
      <c r="AP17" s="10" t="n">
        <v>0.5</v>
      </c>
      <c r="AQ17" s="10" t="n">
        <v>1</v>
      </c>
      <c r="AR17" s="10" t="n">
        <v>1</v>
      </c>
      <c r="AS17" s="10" t="n">
        <v>2</v>
      </c>
      <c r="AT17" s="10" t="n">
        <v>2</v>
      </c>
      <c r="AU17" s="10" t="n">
        <v>2</v>
      </c>
      <c r="AV17" s="10" t="n">
        <v>0.5</v>
      </c>
      <c r="AW17" s="10" t="n">
        <v>1.5</v>
      </c>
      <c r="AX17" s="10" t="n">
        <v>1</v>
      </c>
      <c r="AY17" s="10" t="n">
        <v>2</v>
      </c>
      <c r="AZ17" s="10" t="n">
        <v>2</v>
      </c>
      <c r="BA17" s="10" t="n">
        <v>0.8</v>
      </c>
      <c r="BB17" s="10" t="n">
        <v>1.5</v>
      </c>
      <c r="BC17" s="10" t="n">
        <v>1.35</v>
      </c>
      <c r="BD17" s="10" t="n">
        <v>2.1</v>
      </c>
      <c r="BE17" s="10" t="n">
        <v>2.31</v>
      </c>
      <c r="BF17" s="10" t="n">
        <v>2.1</v>
      </c>
      <c r="BG17" s="10" t="n">
        <v>2.31</v>
      </c>
      <c r="BH17" s="10" t="n">
        <v>0.6</v>
      </c>
      <c r="BI17" s="10" t="n">
        <v>0.6</v>
      </c>
      <c r="BJ17" s="10" t="n">
        <v>1.4</v>
      </c>
      <c r="BK17" s="10" t="n">
        <v>1.4</v>
      </c>
      <c r="BL17" s="10" t="n">
        <v>1.4</v>
      </c>
    </row>
    <row r="18">
      <c r="A18" s="4" t="inlineStr">
        <is>
          <t>Lipides / portion (g)</t>
        </is>
      </c>
      <c r="B18" s="9" t="n">
        <v>0.5</v>
      </c>
      <c r="C18" s="9" t="n">
        <v>0.5</v>
      </c>
      <c r="D18" s="9" t="n">
        <v>0.5</v>
      </c>
      <c r="E18" s="9" t="n"/>
      <c r="F18" s="9" t="n"/>
      <c r="G18" s="10" t="n">
        <v>0.2</v>
      </c>
      <c r="H18" s="10" t="n">
        <v>0.2</v>
      </c>
      <c r="I18" s="10" t="n">
        <v>0.2</v>
      </c>
      <c r="J18" s="10" t="n">
        <v>0.8</v>
      </c>
      <c r="K18" s="10" t="n">
        <v>0.8</v>
      </c>
      <c r="L18" s="10" t="n">
        <v>0.8</v>
      </c>
      <c r="M18" s="10" t="n">
        <v>0.8</v>
      </c>
      <c r="N18" s="10" t="n">
        <v>1.5</v>
      </c>
      <c r="O18" s="10" t="n">
        <v>1.5</v>
      </c>
      <c r="P18" s="10" t="n">
        <v>1.5</v>
      </c>
      <c r="Q18" s="10" t="n">
        <v>1.5</v>
      </c>
      <c r="R18" s="10" t="n">
        <v>0.6</v>
      </c>
      <c r="S18" s="10" t="n">
        <v>0.4</v>
      </c>
      <c r="T18" s="10" t="n">
        <v>0.4</v>
      </c>
      <c r="U18" s="10" t="n">
        <v>0.4</v>
      </c>
      <c r="V18" s="10" t="n">
        <v>0.4</v>
      </c>
      <c r="W18" s="10" t="n">
        <v>0.4</v>
      </c>
      <c r="X18" s="10" t="n"/>
      <c r="Y18" s="10" t="n"/>
      <c r="Z18" s="10" t="n">
        <v>1.4</v>
      </c>
      <c r="AA18" s="10" t="n">
        <v>1.6</v>
      </c>
      <c r="AB18" s="10" t="n">
        <v>1.6</v>
      </c>
      <c r="AC18" s="10" t="n">
        <v>0.5</v>
      </c>
      <c r="AD18" s="10" t="n">
        <v>0.3</v>
      </c>
      <c r="AE18" s="10" t="n">
        <v>1.7</v>
      </c>
      <c r="AF18" s="10" t="n">
        <v>2</v>
      </c>
      <c r="AG18" s="10" t="n">
        <v>1.7</v>
      </c>
      <c r="AH18" s="10" t="n">
        <v>1.7</v>
      </c>
      <c r="AI18" s="10" t="n">
        <v>0.6</v>
      </c>
      <c r="AJ18" s="10" t="n">
        <v>2.1</v>
      </c>
      <c r="AK18" s="10" t="n">
        <v>0.5</v>
      </c>
      <c r="AL18" s="10" t="n">
        <v>0.5</v>
      </c>
      <c r="AM18" s="10" t="n">
        <v>1</v>
      </c>
      <c r="AN18" s="10" t="n">
        <v>1</v>
      </c>
      <c r="AO18" s="10" t="n">
        <v>1</v>
      </c>
      <c r="AP18" s="10" t="n">
        <v>0.1</v>
      </c>
      <c r="AQ18" s="10" t="n">
        <v>0.5</v>
      </c>
      <c r="AR18" s="10" t="n">
        <v>0.5</v>
      </c>
      <c r="AS18" s="10" t="n">
        <v>1</v>
      </c>
      <c r="AT18" s="10" t="n">
        <v>1</v>
      </c>
      <c r="AU18" s="10" t="n">
        <v>1</v>
      </c>
      <c r="AV18" s="10" t="n">
        <v>0.1</v>
      </c>
      <c r="AW18" s="10" t="n">
        <v>0.8</v>
      </c>
      <c r="AX18" s="10" t="n">
        <v>0.5</v>
      </c>
      <c r="AY18" s="10" t="n">
        <v>1.9</v>
      </c>
      <c r="AZ18" s="10" t="n">
        <v>1.9</v>
      </c>
      <c r="BA18" s="10" t="n">
        <v>0.4</v>
      </c>
      <c r="BB18" s="10" t="n">
        <v>1.3</v>
      </c>
      <c r="BC18" s="10" t="n">
        <v>0.45</v>
      </c>
      <c r="BD18" s="10" t="n">
        <v>1.7</v>
      </c>
      <c r="BE18" s="10" t="n">
        <v>2.34</v>
      </c>
      <c r="BF18" s="10" t="n">
        <v>1.7</v>
      </c>
      <c r="BG18" s="10" t="n">
        <v>2.34</v>
      </c>
      <c r="BH18" s="10" t="n">
        <v>0.4</v>
      </c>
      <c r="BI18" s="10" t="n">
        <v>0.4</v>
      </c>
      <c r="BJ18" s="10" t="n">
        <v>1.8</v>
      </c>
      <c r="BK18" s="10" t="n">
        <v>1.8</v>
      </c>
      <c r="BL18" s="10" t="n">
        <v>1.8</v>
      </c>
    </row>
    <row r="19">
      <c r="A19" s="4" t="inlineStr">
        <is>
          <t>Lactose</t>
        </is>
      </c>
      <c r="B19" s="9" t="inlineStr">
        <is>
          <t>faible</t>
        </is>
      </c>
      <c r="C19" s="9" t="inlineStr">
        <is>
          <t>faible</t>
        </is>
      </c>
      <c r="D19" s="9" t="inlineStr">
        <is>
          <t>faible</t>
        </is>
      </c>
      <c r="E19" s="9" t="inlineStr">
        <is>
          <t>present</t>
        </is>
      </c>
      <c r="F19" s="9" t="inlineStr">
        <is>
          <t>present</t>
        </is>
      </c>
      <c r="G19" s="10" t="inlineStr">
        <is>
          <t>tres_faible</t>
        </is>
      </c>
      <c r="H19" s="10" t="inlineStr">
        <is>
          <t>tres_faible</t>
        </is>
      </c>
      <c r="I19" s="10" t="inlineStr">
        <is>
          <t>tres_faible</t>
        </is>
      </c>
      <c r="J19" s="10" t="inlineStr">
        <is>
          <t>faible</t>
        </is>
      </c>
      <c r="K19" s="10" t="inlineStr">
        <is>
          <t>faible</t>
        </is>
      </c>
      <c r="L19" s="10" t="inlineStr">
        <is>
          <t>faible</t>
        </is>
      </c>
      <c r="M19" s="10" t="inlineStr">
        <is>
          <t>faible</t>
        </is>
      </c>
      <c r="N19" s="10" t="inlineStr">
        <is>
          <t>present</t>
        </is>
      </c>
      <c r="O19" s="10" t="inlineStr">
        <is>
          <t>present</t>
        </is>
      </c>
      <c r="P19" s="10" t="inlineStr">
        <is>
          <t>present</t>
        </is>
      </c>
      <c r="Q19" s="10" t="inlineStr">
        <is>
          <t>present</t>
        </is>
      </c>
      <c r="R19" s="10" t="inlineStr">
        <is>
          <t>tres_faible</t>
        </is>
      </c>
      <c r="S19" s="10" t="inlineStr">
        <is>
          <t>faible</t>
        </is>
      </c>
      <c r="T19" s="10" t="inlineStr">
        <is>
          <t>faible</t>
        </is>
      </c>
      <c r="U19" s="10" t="inlineStr">
        <is>
          <t>tres_faible</t>
        </is>
      </c>
      <c r="V19" s="10" t="inlineStr">
        <is>
          <t>tres_faible</t>
        </is>
      </c>
      <c r="W19" s="10" t="inlineStr">
        <is>
          <t>tres_faible</t>
        </is>
      </c>
      <c r="X19" s="10" t="n"/>
      <c r="Y19" s="10" t="n"/>
      <c r="Z19" s="10" t="n"/>
      <c r="AA19" s="10" t="inlineStr">
        <is>
          <t>faible</t>
        </is>
      </c>
      <c r="AB19" s="10" t="inlineStr">
        <is>
          <t>faible</t>
        </is>
      </c>
      <c r="AC19" s="10" t="inlineStr">
        <is>
          <t>tres_faible</t>
        </is>
      </c>
      <c r="AD19" s="10" t="inlineStr">
        <is>
          <t>tres_faible</t>
        </is>
      </c>
      <c r="AE19" s="10" t="n"/>
      <c r="AF19" s="10" t="inlineStr">
        <is>
          <t>present</t>
        </is>
      </c>
      <c r="AG19" s="10" t="n"/>
      <c r="AH19" s="10" t="n"/>
      <c r="AI19" s="10" t="inlineStr">
        <is>
          <t>faible</t>
        </is>
      </c>
      <c r="AJ19" s="10" t="inlineStr">
        <is>
          <t>present</t>
        </is>
      </c>
      <c r="AK19" s="10" t="inlineStr">
        <is>
          <t>faible</t>
        </is>
      </c>
      <c r="AL19" s="10" t="inlineStr">
        <is>
          <t>faible</t>
        </is>
      </c>
      <c r="AM19" s="10" t="inlineStr">
        <is>
          <t>present</t>
        </is>
      </c>
      <c r="AN19" s="10" t="inlineStr">
        <is>
          <t>present</t>
        </is>
      </c>
      <c r="AO19" s="10" t="inlineStr">
        <is>
          <t>present</t>
        </is>
      </c>
      <c r="AP19" s="10" t="inlineStr">
        <is>
          <t>tres_faible</t>
        </is>
      </c>
      <c r="AQ19" s="10" t="inlineStr">
        <is>
          <t>faible</t>
        </is>
      </c>
      <c r="AR19" s="10" t="inlineStr">
        <is>
          <t>faible</t>
        </is>
      </c>
      <c r="AS19" s="10" t="inlineStr">
        <is>
          <t>present</t>
        </is>
      </c>
      <c r="AT19" s="10" t="inlineStr">
        <is>
          <t>present</t>
        </is>
      </c>
      <c r="AU19" s="10" t="inlineStr">
        <is>
          <t>present</t>
        </is>
      </c>
      <c r="AV19" s="10" t="inlineStr">
        <is>
          <t>tres_faible</t>
        </is>
      </c>
      <c r="AW19" s="10" t="inlineStr">
        <is>
          <t>faible</t>
        </is>
      </c>
      <c r="AX19" s="10" t="inlineStr">
        <is>
          <t>tres_faible</t>
        </is>
      </c>
      <c r="AY19" s="10" t="inlineStr">
        <is>
          <t>present</t>
        </is>
      </c>
      <c r="AZ19" s="10" t="inlineStr">
        <is>
          <t>present</t>
        </is>
      </c>
      <c r="BA19" s="10" t="inlineStr">
        <is>
          <t>tres_faible</t>
        </is>
      </c>
      <c r="BB19" s="10" t="inlineStr">
        <is>
          <t>faible</t>
        </is>
      </c>
      <c r="BC19" s="10" t="inlineStr">
        <is>
          <t>tres_faible</t>
        </is>
      </c>
      <c r="BD19" s="10" t="n"/>
      <c r="BE19" s="10" t="n"/>
      <c r="BF19" s="10" t="n"/>
      <c r="BG19" s="10" t="n"/>
      <c r="BH19" s="10" t="inlineStr">
        <is>
          <t>tres_faible</t>
        </is>
      </c>
      <c r="BI19" s="10" t="inlineStr">
        <is>
          <t>tres_faible</t>
        </is>
      </c>
      <c r="BJ19" s="10" t="n"/>
      <c r="BK19" s="10" t="n"/>
      <c r="BL19" s="10" t="n"/>
    </row>
    <row r="20">
      <c r="A20" s="7" t="inlineStr">
        <is>
          <t>PRIX — 3 COUCHES (nominal / current / marché médian)</t>
        </is>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c r="AY20" s="8" t="n"/>
      <c r="AZ20" s="8" t="n"/>
      <c r="BA20" s="8" t="n"/>
      <c r="BB20" s="8" t="n"/>
      <c r="BC20" s="8" t="n"/>
      <c r="BD20" s="8" t="n"/>
      <c r="BE20" s="8" t="n"/>
      <c r="BF20" s="8" t="n"/>
      <c r="BG20" s="8" t="n"/>
      <c r="BH20" s="8" t="n"/>
      <c r="BI20" s="8" t="n"/>
      <c r="BJ20" s="8" t="n"/>
      <c r="BK20" s="8" t="n"/>
      <c r="BL20" s="8" t="n"/>
    </row>
    <row r="21">
      <c r="A21" s="4" t="inlineStr">
        <is>
          <t>Prix nominal (site propre, barré)</t>
        </is>
      </c>
      <c r="B21" s="9" t="n">
        <v>39.9</v>
      </c>
      <c r="C21" s="9" t="n">
        <v>39.9</v>
      </c>
      <c r="D21" s="9" t="n">
        <v>37.9</v>
      </c>
      <c r="E21" s="9" t="n">
        <v>39.9</v>
      </c>
      <c r="F21" s="9" t="n">
        <v>39.9</v>
      </c>
      <c r="G21" s="10" t="n">
        <v>39.9</v>
      </c>
      <c r="H21" s="10" t="n">
        <v>104.9</v>
      </c>
      <c r="I21" s="10" t="n">
        <v>179.9</v>
      </c>
      <c r="J21" s="10" t="n">
        <v>31.95</v>
      </c>
      <c r="K21" s="10" t="n">
        <v>57.95</v>
      </c>
      <c r="L21" s="10" t="n">
        <v>116.95</v>
      </c>
      <c r="M21" s="10" t="n">
        <v>190.95</v>
      </c>
      <c r="N21" s="10" t="n">
        <v>19.95</v>
      </c>
      <c r="O21" s="10" t="n">
        <v>37.95</v>
      </c>
      <c r="P21" s="10" t="n">
        <v>80.95</v>
      </c>
      <c r="Q21" s="10" t="n">
        <v>131.95</v>
      </c>
      <c r="R21" s="10" t="n">
        <v>54.9</v>
      </c>
      <c r="S21" s="10" t="n">
        <v>39.9</v>
      </c>
      <c r="T21" s="10" t="n">
        <v>45.95</v>
      </c>
      <c r="U21" s="10" t="n">
        <v>33.9</v>
      </c>
      <c r="V21" s="10" t="n">
        <v>79.90000000000001</v>
      </c>
      <c r="W21" s="10" t="n">
        <v>94.90000000000001</v>
      </c>
      <c r="X21" s="10" t="n">
        <v>29.9</v>
      </c>
      <c r="Y21" s="10" t="n">
        <v>59.9</v>
      </c>
      <c r="Z21" s="10" t="n">
        <v>82.90000000000001</v>
      </c>
      <c r="AA21" s="10" t="n">
        <v>41.9</v>
      </c>
      <c r="AB21" s="10" t="n">
        <v>65.90000000000001</v>
      </c>
      <c r="AC21" s="10" t="n">
        <v>45.9</v>
      </c>
      <c r="AD21" s="10" t="n">
        <v>45.9</v>
      </c>
      <c r="AE21" s="10" t="n">
        <v>34.9</v>
      </c>
      <c r="AF21" s="10" t="n">
        <v>39.99</v>
      </c>
      <c r="AG21" s="10" t="n">
        <v>38.9</v>
      </c>
      <c r="AH21" s="10" t="n">
        <v>80.98999999999999</v>
      </c>
      <c r="AI21" s="10" t="n">
        <v>39.99</v>
      </c>
      <c r="AJ21" s="10" t="n">
        <v>28.99</v>
      </c>
      <c r="AK21" s="10" t="n">
        <v>69.98999999999999</v>
      </c>
      <c r="AL21" s="10" t="n">
        <v>159.99</v>
      </c>
      <c r="AM21" s="10" t="n">
        <v>37.99</v>
      </c>
      <c r="AN21" s="10" t="n">
        <v>84.98999999999999</v>
      </c>
      <c r="AO21" s="10" t="n">
        <v>159.99</v>
      </c>
      <c r="AP21" s="10" t="n">
        <v>31.49</v>
      </c>
      <c r="AQ21" s="10" t="n">
        <v>57.99</v>
      </c>
      <c r="AR21" s="10" t="n">
        <v>124.99</v>
      </c>
      <c r="AS21" s="10" t="n">
        <v>41.99</v>
      </c>
      <c r="AT21" s="10" t="n">
        <v>84.98999999999999</v>
      </c>
      <c r="AU21" s="10" t="n">
        <v>188.99</v>
      </c>
      <c r="AV21" s="10" t="n">
        <v>49.99</v>
      </c>
      <c r="AW21" s="10" t="n">
        <v>37.99</v>
      </c>
      <c r="AX21" s="10" t="n">
        <v>53.99</v>
      </c>
      <c r="AY21" s="10" t="n">
        <v>34.99</v>
      </c>
      <c r="AZ21" s="10" t="n">
        <v>62.99</v>
      </c>
      <c r="BA21" s="10" t="n">
        <v>89.98999999999999</v>
      </c>
      <c r="BB21" s="10" t="n">
        <v>39.9</v>
      </c>
      <c r="BC21" s="10" t="n">
        <v>49.9</v>
      </c>
      <c r="BD21" s="10" t="n">
        <v>41.99</v>
      </c>
      <c r="BE21" s="10" t="n">
        <v>26.9</v>
      </c>
      <c r="BF21" s="10" t="n">
        <v>85.90000000000001</v>
      </c>
      <c r="BG21" s="10" t="n">
        <v>49.9</v>
      </c>
      <c r="BH21" s="10" t="n">
        <v>69.90000000000001</v>
      </c>
      <c r="BI21" s="10" t="n">
        <v>104.9</v>
      </c>
      <c r="BJ21" s="10" t="n">
        <v>32.9</v>
      </c>
      <c r="BK21" s="10" t="n">
        <v>54.9</v>
      </c>
      <c r="BL21" s="10" t="n">
        <v>89.90000000000001</v>
      </c>
    </row>
    <row r="22">
      <c r="A22" s="4" t="inlineStr">
        <is>
          <t>Prix actuel (site propre, affiché)</t>
        </is>
      </c>
      <c r="B22" s="9" t="n">
        <v>39.9</v>
      </c>
      <c r="C22" s="9" t="n">
        <v>39.9</v>
      </c>
      <c r="D22" s="9" t="n">
        <v>37.9</v>
      </c>
      <c r="E22" s="9" t="n">
        <v>39.9</v>
      </c>
      <c r="F22" s="9" t="n">
        <v>39.9</v>
      </c>
      <c r="G22" s="10" t="n">
        <v>39.9</v>
      </c>
      <c r="H22" s="10" t="n">
        <v>104.9</v>
      </c>
      <c r="I22" s="10" t="n">
        <v>179.9</v>
      </c>
      <c r="J22" s="10" t="n">
        <v>31.95</v>
      </c>
      <c r="K22" s="10" t="n">
        <v>57.95</v>
      </c>
      <c r="L22" s="10" t="n">
        <v>116.95</v>
      </c>
      <c r="M22" s="10" t="n">
        <v>190.95</v>
      </c>
      <c r="N22" s="10" t="n">
        <v>19.95</v>
      </c>
      <c r="O22" s="10" t="n">
        <v>37.95</v>
      </c>
      <c r="P22" s="10" t="n">
        <v>80.95</v>
      </c>
      <c r="Q22" s="10" t="n">
        <v>131.95</v>
      </c>
      <c r="R22" s="10" t="n">
        <v>54.9</v>
      </c>
      <c r="S22" s="10" t="n">
        <v>39.9</v>
      </c>
      <c r="T22" s="10" t="n">
        <v>45.95</v>
      </c>
      <c r="U22" s="10" t="n">
        <v>33.9</v>
      </c>
      <c r="V22" s="10" t="n">
        <v>79.90000000000001</v>
      </c>
      <c r="W22" s="10" t="n">
        <v>94.90000000000001</v>
      </c>
      <c r="X22" s="10" t="n">
        <v>29.9</v>
      </c>
      <c r="Y22" s="10" t="n">
        <v>59.9</v>
      </c>
      <c r="Z22" s="10" t="n">
        <v>82.90000000000001</v>
      </c>
      <c r="AA22" s="10" t="n">
        <v>41.9</v>
      </c>
      <c r="AB22" s="10" t="n">
        <v>65.90000000000001</v>
      </c>
      <c r="AC22" s="10" t="n">
        <v>45.9</v>
      </c>
      <c r="AD22" s="10" t="n">
        <v>45.9</v>
      </c>
      <c r="AE22" s="10" t="n">
        <v>34.9</v>
      </c>
      <c r="AF22" s="10" t="n">
        <v>39.99</v>
      </c>
      <c r="AG22" s="10" t="n">
        <v>38.9</v>
      </c>
      <c r="AH22" s="10" t="n">
        <v>80.98999999999999</v>
      </c>
      <c r="AI22" s="10" t="n">
        <v>39.99</v>
      </c>
      <c r="AJ22" s="10" t="n">
        <v>28.99</v>
      </c>
      <c r="AK22" s="10" t="n">
        <v>44.99</v>
      </c>
      <c r="AL22" s="10" t="n">
        <v>99.98999999999999</v>
      </c>
      <c r="AM22" s="10" t="n">
        <v>27.99</v>
      </c>
      <c r="AN22" s="10" t="n">
        <v>64.98999999999999</v>
      </c>
      <c r="AO22" s="10" t="n">
        <v>129.99</v>
      </c>
      <c r="AP22" s="10" t="n">
        <v>25.99</v>
      </c>
      <c r="AQ22" s="10" t="n">
        <v>57.99</v>
      </c>
      <c r="AR22" s="10" t="n">
        <v>124.99</v>
      </c>
      <c r="AS22" s="10" t="n">
        <v>17.99</v>
      </c>
      <c r="AT22" s="10" t="n">
        <v>40.99</v>
      </c>
      <c r="AU22" s="10" t="n">
        <v>91.09999999999999</v>
      </c>
      <c r="AV22" s="10" t="n">
        <v>49.99</v>
      </c>
      <c r="AW22" s="10" t="n">
        <v>37.99</v>
      </c>
      <c r="AX22" s="10" t="n">
        <v>53.99</v>
      </c>
      <c r="AY22" s="10" t="n">
        <v>34.99</v>
      </c>
      <c r="AZ22" s="10" t="n">
        <v>62.99</v>
      </c>
      <c r="BA22" s="10" t="n">
        <v>89.98999999999999</v>
      </c>
      <c r="BB22" s="10" t="n">
        <v>29.96</v>
      </c>
      <c r="BC22" s="10" t="n">
        <v>49.9</v>
      </c>
      <c r="BD22" s="10" t="n">
        <v>41.99</v>
      </c>
      <c r="BE22" s="10" t="n">
        <v>26.9</v>
      </c>
      <c r="BF22" s="10" t="n">
        <v>85.90000000000001</v>
      </c>
      <c r="BG22" s="10" t="n">
        <v>49.9</v>
      </c>
      <c r="BH22" s="10" t="n">
        <v>69.90000000000001</v>
      </c>
      <c r="BI22" s="10" t="n">
        <v>104.9</v>
      </c>
      <c r="BJ22" s="10" t="n">
        <v>32.9</v>
      </c>
      <c r="BK22" s="10" t="n">
        <v>54.9</v>
      </c>
      <c r="BL22" s="10" t="n">
        <v>89.90000000000001</v>
      </c>
    </row>
    <row r="23">
      <c r="A23" s="4" t="inlineStr">
        <is>
          <t>Prix médian marché (idealo/ledenicheur)</t>
        </is>
      </c>
      <c r="B23" s="9" t="n"/>
      <c r="C23" s="9" t="n"/>
      <c r="D23" s="9" t="n"/>
      <c r="E23" s="9" t="n"/>
      <c r="F23" s="9"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v>23.99</v>
      </c>
      <c r="AN23" s="10" t="n"/>
      <c r="AO23" s="10" t="n"/>
      <c r="AP23" s="10" t="n">
        <v>22.25</v>
      </c>
      <c r="AQ23" s="10" t="n">
        <v>56.4</v>
      </c>
      <c r="AR23" s="10" t="n"/>
      <c r="AS23" s="10" t="n">
        <v>34.99</v>
      </c>
      <c r="AT23" s="10" t="n">
        <v>56.4</v>
      </c>
      <c r="AU23" s="10" t="n">
        <v>188.99</v>
      </c>
      <c r="AV23" s="10" t="n"/>
      <c r="AW23" s="10" t="n"/>
      <c r="AX23" s="10" t="n"/>
      <c r="AY23" s="10" t="n"/>
      <c r="AZ23" s="10" t="n"/>
      <c r="BA23" s="10" t="n"/>
      <c r="BB23" s="10" t="n">
        <v>22.25</v>
      </c>
      <c r="BC23" s="10" t="n"/>
      <c r="BD23" s="10" t="n">
        <v>34.9</v>
      </c>
      <c r="BE23" s="10" t="n"/>
      <c r="BF23" s="10" t="n"/>
      <c r="BG23" s="10" t="n"/>
      <c r="BH23" s="10" t="n"/>
      <c r="BI23" s="10" t="n"/>
      <c r="BJ23" s="10" t="n"/>
      <c r="BK23" s="10" t="n">
        <v>27.02</v>
      </c>
      <c r="BL23" s="10" t="n"/>
    </row>
    <row r="24">
      <c r="A24" s="4" t="inlineStr">
        <is>
          <t>Écart nominal → actuel (%)</t>
        </is>
      </c>
      <c r="B24" s="11">
        <f>IFERROR((B21-B22)/B21*100,"")</f>
        <v/>
      </c>
      <c r="C24" s="11">
        <f>IFERROR((C21-C22)/C21*100,"")</f>
        <v/>
      </c>
      <c r="D24" s="11">
        <f>IFERROR((D21-D22)/D21*100,"")</f>
        <v/>
      </c>
      <c r="E24" s="11">
        <f>IFERROR((E21-E22)/E21*100,"")</f>
        <v/>
      </c>
      <c r="F24" s="11">
        <f>IFERROR((F21-F22)/F21*100,"")</f>
        <v/>
      </c>
      <c r="G24" s="12">
        <f>IFERROR((G21-G22)/G21*100,"")</f>
        <v/>
      </c>
      <c r="H24" s="12">
        <f>IFERROR((H21-H22)/H21*100,"")</f>
        <v/>
      </c>
      <c r="I24" s="12">
        <f>IFERROR((I21-I22)/I21*100,"")</f>
        <v/>
      </c>
      <c r="J24" s="12">
        <f>IFERROR((J21-J22)/J21*100,"")</f>
        <v/>
      </c>
      <c r="K24" s="12">
        <f>IFERROR((K21-K22)/K21*100,"")</f>
        <v/>
      </c>
      <c r="L24" s="12">
        <f>IFERROR((L21-L22)/L21*100,"")</f>
        <v/>
      </c>
      <c r="M24" s="12">
        <f>IFERROR((M21-M22)/M21*100,"")</f>
        <v/>
      </c>
      <c r="N24" s="12">
        <f>IFERROR((N21-N22)/N21*100,"")</f>
        <v/>
      </c>
      <c r="O24" s="12">
        <f>IFERROR((O21-O22)/O21*100,"")</f>
        <v/>
      </c>
      <c r="P24" s="12">
        <f>IFERROR((P21-P22)/P21*100,"")</f>
        <v/>
      </c>
      <c r="Q24" s="12">
        <f>IFERROR((Q21-Q22)/Q21*100,"")</f>
        <v/>
      </c>
      <c r="R24" s="12">
        <f>IFERROR((R21-R22)/R21*100,"")</f>
        <v/>
      </c>
      <c r="S24" s="12">
        <f>IFERROR((S21-S22)/S21*100,"")</f>
        <v/>
      </c>
      <c r="T24" s="12">
        <f>IFERROR((T21-T22)/T21*100,"")</f>
        <v/>
      </c>
      <c r="U24" s="12">
        <f>IFERROR((U21-U22)/U21*100,"")</f>
        <v/>
      </c>
      <c r="V24" s="12">
        <f>IFERROR((V21-V22)/V21*100,"")</f>
        <v/>
      </c>
      <c r="W24" s="12">
        <f>IFERROR((W21-W22)/W21*100,"")</f>
        <v/>
      </c>
      <c r="X24" s="12">
        <f>IFERROR((X21-X22)/X21*100,"")</f>
        <v/>
      </c>
      <c r="Y24" s="12">
        <f>IFERROR((Y21-Y22)/Y21*100,"")</f>
        <v/>
      </c>
      <c r="Z24" s="12">
        <f>IFERROR((Z21-Z22)/Z21*100,"")</f>
        <v/>
      </c>
      <c r="AA24" s="12">
        <f>IFERROR((AA21-AA22)/AA21*100,"")</f>
        <v/>
      </c>
      <c r="AB24" s="12">
        <f>IFERROR((AB21-AB22)/AB21*100,"")</f>
        <v/>
      </c>
      <c r="AC24" s="12">
        <f>IFERROR((AC21-AC22)/AC21*100,"")</f>
        <v/>
      </c>
      <c r="AD24" s="12">
        <f>IFERROR((AD21-AD22)/AD21*100,"")</f>
        <v/>
      </c>
      <c r="AE24" s="12">
        <f>IFERROR((AE21-AE22)/AE21*100,"")</f>
        <v/>
      </c>
      <c r="AF24" s="12">
        <f>IFERROR((AF21-AF22)/AF21*100,"")</f>
        <v/>
      </c>
      <c r="AG24" s="12">
        <f>IFERROR((AG21-AG22)/AG21*100,"")</f>
        <v/>
      </c>
      <c r="AH24" s="12">
        <f>IFERROR((AH21-AH22)/AH21*100,"")</f>
        <v/>
      </c>
      <c r="AI24" s="12">
        <f>IFERROR((AI21-AI22)/AI21*100,"")</f>
        <v/>
      </c>
      <c r="AJ24" s="12">
        <f>IFERROR((AJ21-AJ22)/AJ21*100,"")</f>
        <v/>
      </c>
      <c r="AK24" s="12">
        <f>IFERROR((AK21-AK22)/AK21*100,"")</f>
        <v/>
      </c>
      <c r="AL24" s="12">
        <f>IFERROR((AL21-AL22)/AL21*100,"")</f>
        <v/>
      </c>
      <c r="AM24" s="12">
        <f>IFERROR((AM21-AM22)/AM21*100,"")</f>
        <v/>
      </c>
      <c r="AN24" s="12">
        <f>IFERROR((AN21-AN22)/AN21*100,"")</f>
        <v/>
      </c>
      <c r="AO24" s="12">
        <f>IFERROR((AO21-AO22)/AO21*100,"")</f>
        <v/>
      </c>
      <c r="AP24" s="12">
        <f>IFERROR((AP21-AP22)/AP21*100,"")</f>
        <v/>
      </c>
      <c r="AQ24" s="12">
        <f>IFERROR((AQ21-AQ22)/AQ21*100,"")</f>
        <v/>
      </c>
      <c r="AR24" s="12">
        <f>IFERROR((AR21-AR22)/AR21*100,"")</f>
        <v/>
      </c>
      <c r="AS24" s="12">
        <f>IFERROR((AS21-AS22)/AS21*100,"")</f>
        <v/>
      </c>
      <c r="AT24" s="12">
        <f>IFERROR((AT21-AT22)/AT21*100,"")</f>
        <v/>
      </c>
      <c r="AU24" s="12">
        <f>IFERROR((AU21-AU22)/AU21*100,"")</f>
        <v/>
      </c>
      <c r="AV24" s="12">
        <f>IFERROR((AV21-AV22)/AV21*100,"")</f>
        <v/>
      </c>
      <c r="AW24" s="12">
        <f>IFERROR((AW21-AW22)/AW21*100,"")</f>
        <v/>
      </c>
      <c r="AX24" s="12">
        <f>IFERROR((AX21-AX22)/AX21*100,"")</f>
        <v/>
      </c>
      <c r="AY24" s="12">
        <f>IFERROR((AY21-AY22)/AY21*100,"")</f>
        <v/>
      </c>
      <c r="AZ24" s="12">
        <f>IFERROR((AZ21-AZ22)/AZ21*100,"")</f>
        <v/>
      </c>
      <c r="BA24" s="12">
        <f>IFERROR((BA21-BA22)/BA21*100,"")</f>
        <v/>
      </c>
      <c r="BB24" s="12">
        <f>IFERROR((BB21-BB22)/BB21*100,"")</f>
        <v/>
      </c>
      <c r="BC24" s="12">
        <f>IFERROR((BC21-BC22)/BC21*100,"")</f>
        <v/>
      </c>
      <c r="BD24" s="12">
        <f>IFERROR((BD21-BD22)/BD21*100,"")</f>
        <v/>
      </c>
      <c r="BE24" s="12">
        <f>IFERROR((BE21-BE22)/BE21*100,"")</f>
        <v/>
      </c>
      <c r="BF24" s="12">
        <f>IFERROR((BF21-BF22)/BF21*100,"")</f>
        <v/>
      </c>
      <c r="BG24" s="12">
        <f>IFERROR((BG21-BG22)/BG21*100,"")</f>
        <v/>
      </c>
      <c r="BH24" s="12">
        <f>IFERROR((BH21-BH22)/BH21*100,"")</f>
        <v/>
      </c>
      <c r="BI24" s="12">
        <f>IFERROR((BI21-BI22)/BI21*100,"")</f>
        <v/>
      </c>
      <c r="BJ24" s="12">
        <f>IFERROR((BJ21-BJ22)/BJ21*100,"")</f>
        <v/>
      </c>
      <c r="BK24" s="12">
        <f>IFERROR((BK21-BK22)/BK21*100,"")</f>
        <v/>
      </c>
      <c r="BL24" s="12">
        <f>IFERROR((BL21-BL22)/BL21*100,"")</f>
        <v/>
      </c>
    </row>
    <row r="25">
      <c r="A25" s="4" t="inlineStr">
        <is>
          <t>Écart actuel → marché (%)</t>
        </is>
      </c>
      <c r="B25" s="11">
        <f>IFERROR((B22-B23)/B22*100,"")</f>
        <v/>
      </c>
      <c r="C25" s="11">
        <f>IFERROR((C22-C23)/C22*100,"")</f>
        <v/>
      </c>
      <c r="D25" s="11">
        <f>IFERROR((D22-D23)/D22*100,"")</f>
        <v/>
      </c>
      <c r="E25" s="11">
        <f>IFERROR((E22-E23)/E22*100,"")</f>
        <v/>
      </c>
      <c r="F25" s="11">
        <f>IFERROR((F22-F23)/F22*100,"")</f>
        <v/>
      </c>
      <c r="G25" s="12">
        <f>IFERROR((G22-G23)/G22*100,"")</f>
        <v/>
      </c>
      <c r="H25" s="12">
        <f>IFERROR((H22-H23)/H22*100,"")</f>
        <v/>
      </c>
      <c r="I25" s="12">
        <f>IFERROR((I22-I23)/I22*100,"")</f>
        <v/>
      </c>
      <c r="J25" s="12">
        <f>IFERROR((J22-J23)/J22*100,"")</f>
        <v/>
      </c>
      <c r="K25" s="12">
        <f>IFERROR((K22-K23)/K22*100,"")</f>
        <v/>
      </c>
      <c r="L25" s="12">
        <f>IFERROR((L22-L23)/L22*100,"")</f>
        <v/>
      </c>
      <c r="M25" s="12">
        <f>IFERROR((M22-M23)/M22*100,"")</f>
        <v/>
      </c>
      <c r="N25" s="12">
        <f>IFERROR((N22-N23)/N22*100,"")</f>
        <v/>
      </c>
      <c r="O25" s="12">
        <f>IFERROR((O22-O23)/O22*100,"")</f>
        <v/>
      </c>
      <c r="P25" s="12">
        <f>IFERROR((P22-P23)/P22*100,"")</f>
        <v/>
      </c>
      <c r="Q25" s="12">
        <f>IFERROR((Q22-Q23)/Q22*100,"")</f>
        <v/>
      </c>
      <c r="R25" s="12">
        <f>IFERROR((R22-R23)/R22*100,"")</f>
        <v/>
      </c>
      <c r="S25" s="12">
        <f>IFERROR((S22-S23)/S22*100,"")</f>
        <v/>
      </c>
      <c r="T25" s="12">
        <f>IFERROR((T22-T23)/T22*100,"")</f>
        <v/>
      </c>
      <c r="U25" s="12">
        <f>IFERROR((U22-U23)/U22*100,"")</f>
        <v/>
      </c>
      <c r="V25" s="12">
        <f>IFERROR((V22-V23)/V22*100,"")</f>
        <v/>
      </c>
      <c r="W25" s="12">
        <f>IFERROR((W22-W23)/W22*100,"")</f>
        <v/>
      </c>
      <c r="X25" s="12">
        <f>IFERROR((X22-X23)/X22*100,"")</f>
        <v/>
      </c>
      <c r="Y25" s="12">
        <f>IFERROR((Y22-Y23)/Y22*100,"")</f>
        <v/>
      </c>
      <c r="Z25" s="12">
        <f>IFERROR((Z22-Z23)/Z22*100,"")</f>
        <v/>
      </c>
      <c r="AA25" s="12">
        <f>IFERROR((AA22-AA23)/AA22*100,"")</f>
        <v/>
      </c>
      <c r="AB25" s="12">
        <f>IFERROR((AB22-AB23)/AB22*100,"")</f>
        <v/>
      </c>
      <c r="AC25" s="12">
        <f>IFERROR((AC22-AC23)/AC22*100,"")</f>
        <v/>
      </c>
      <c r="AD25" s="12">
        <f>IFERROR((AD22-AD23)/AD22*100,"")</f>
        <v/>
      </c>
      <c r="AE25" s="12">
        <f>IFERROR((AE22-AE23)/AE22*100,"")</f>
        <v/>
      </c>
      <c r="AF25" s="12">
        <f>IFERROR((AF22-AF23)/AF22*100,"")</f>
        <v/>
      </c>
      <c r="AG25" s="12">
        <f>IFERROR((AG22-AG23)/AG22*100,"")</f>
        <v/>
      </c>
      <c r="AH25" s="12">
        <f>IFERROR((AH22-AH23)/AH22*100,"")</f>
        <v/>
      </c>
      <c r="AI25" s="12">
        <f>IFERROR((AI22-AI23)/AI22*100,"")</f>
        <v/>
      </c>
      <c r="AJ25" s="12">
        <f>IFERROR((AJ22-AJ23)/AJ22*100,"")</f>
        <v/>
      </c>
      <c r="AK25" s="12">
        <f>IFERROR((AK22-AK23)/AK22*100,"")</f>
        <v/>
      </c>
      <c r="AL25" s="12">
        <f>IFERROR((AL22-AL23)/AL22*100,"")</f>
        <v/>
      </c>
      <c r="AM25" s="12">
        <f>IFERROR((AM22-AM23)/AM22*100,"")</f>
        <v/>
      </c>
      <c r="AN25" s="12">
        <f>IFERROR((AN22-AN23)/AN22*100,"")</f>
        <v/>
      </c>
      <c r="AO25" s="12">
        <f>IFERROR((AO22-AO23)/AO22*100,"")</f>
        <v/>
      </c>
      <c r="AP25" s="12">
        <f>IFERROR((AP22-AP23)/AP22*100,"")</f>
        <v/>
      </c>
      <c r="AQ25" s="12">
        <f>IFERROR((AQ22-AQ23)/AQ22*100,"")</f>
        <v/>
      </c>
      <c r="AR25" s="12">
        <f>IFERROR((AR22-AR23)/AR22*100,"")</f>
        <v/>
      </c>
      <c r="AS25" s="12">
        <f>IFERROR((AS22-AS23)/AS22*100,"")</f>
        <v/>
      </c>
      <c r="AT25" s="12">
        <f>IFERROR((AT22-AT23)/AT22*100,"")</f>
        <v/>
      </c>
      <c r="AU25" s="12">
        <f>IFERROR((AU22-AU23)/AU22*100,"")</f>
        <v/>
      </c>
      <c r="AV25" s="12">
        <f>IFERROR((AV22-AV23)/AV22*100,"")</f>
        <v/>
      </c>
      <c r="AW25" s="12">
        <f>IFERROR((AW22-AW23)/AW22*100,"")</f>
        <v/>
      </c>
      <c r="AX25" s="12">
        <f>IFERROR((AX22-AX23)/AX22*100,"")</f>
        <v/>
      </c>
      <c r="AY25" s="12">
        <f>IFERROR((AY22-AY23)/AY22*100,"")</f>
        <v/>
      </c>
      <c r="AZ25" s="12">
        <f>IFERROR((AZ22-AZ23)/AZ22*100,"")</f>
        <v/>
      </c>
      <c r="BA25" s="12">
        <f>IFERROR((BA22-BA23)/BA22*100,"")</f>
        <v/>
      </c>
      <c r="BB25" s="12">
        <f>IFERROR((BB22-BB23)/BB22*100,"")</f>
        <v/>
      </c>
      <c r="BC25" s="12">
        <f>IFERROR((BC22-BC23)/BC22*100,"")</f>
        <v/>
      </c>
      <c r="BD25" s="12">
        <f>IFERROR((BD22-BD23)/BD22*100,"")</f>
        <v/>
      </c>
      <c r="BE25" s="12">
        <f>IFERROR((BE22-BE23)/BE22*100,"")</f>
        <v/>
      </c>
      <c r="BF25" s="12">
        <f>IFERROR((BF22-BF23)/BF22*100,"")</f>
        <v/>
      </c>
      <c r="BG25" s="12">
        <f>IFERROR((BG22-BG23)/BG22*100,"")</f>
        <v/>
      </c>
      <c r="BH25" s="12">
        <f>IFERROR((BH22-BH23)/BH22*100,"")</f>
        <v/>
      </c>
      <c r="BI25" s="12">
        <f>IFERROR((BI22-BI23)/BI22*100,"")</f>
        <v/>
      </c>
      <c r="BJ25" s="12">
        <f>IFERROR((BJ22-BJ23)/BJ22*100,"")</f>
        <v/>
      </c>
      <c r="BK25" s="12">
        <f>IFERROR((BK22-BK23)/BK22*100,"")</f>
        <v/>
      </c>
      <c r="BL25" s="12">
        <f>IFERROR((BL22-BL23)/BL22*100,"")</f>
        <v/>
      </c>
    </row>
    <row r="26">
      <c r="A26" s="7" t="inlineStr">
        <is>
          <t>PRIX DÉRIVÉS (base = prix actuel site propre)</t>
        </is>
      </c>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c r="AZ26" s="8" t="n"/>
      <c r="BA26" s="8" t="n"/>
      <c r="BB26" s="8" t="n"/>
      <c r="BC26" s="8" t="n"/>
      <c r="BD26" s="8" t="n"/>
      <c r="BE26" s="8" t="n"/>
      <c r="BF26" s="8" t="n"/>
      <c r="BG26" s="8" t="n"/>
      <c r="BH26" s="8" t="n"/>
      <c r="BI26" s="8" t="n"/>
      <c r="BJ26" s="8" t="n"/>
      <c r="BK26" s="8" t="n"/>
      <c r="BL26" s="8" t="n"/>
    </row>
    <row r="27">
      <c r="A27" s="4" t="inlineStr">
        <is>
          <t>Prix actuel / kg (€)</t>
        </is>
      </c>
      <c r="B27" s="13">
        <f>IFERROR(B22/(B5/1000),"")</f>
        <v/>
      </c>
      <c r="C27" s="13">
        <f>IFERROR(C22/(C5/1000),"")</f>
        <v/>
      </c>
      <c r="D27" s="13">
        <f>IFERROR(D22/(D5/1000),"")</f>
        <v/>
      </c>
      <c r="E27" s="13">
        <f>IFERROR(E22/(E5/1000),"")</f>
        <v/>
      </c>
      <c r="F27" s="13">
        <f>IFERROR(F22/(F5/1000),"")</f>
        <v/>
      </c>
      <c r="G27" s="14">
        <f>IFERROR(G22/(G5/1000),"")</f>
        <v/>
      </c>
      <c r="H27" s="14">
        <f>IFERROR(H22/(H5/1000),"")</f>
        <v/>
      </c>
      <c r="I27" s="14">
        <f>IFERROR(I22/(I5/1000),"")</f>
        <v/>
      </c>
      <c r="J27" s="14">
        <f>IFERROR(J22/(J5/1000),"")</f>
        <v/>
      </c>
      <c r="K27" s="14">
        <f>IFERROR(K22/(K5/1000),"")</f>
        <v/>
      </c>
      <c r="L27" s="14">
        <f>IFERROR(L22/(L5/1000),"")</f>
        <v/>
      </c>
      <c r="M27" s="14">
        <f>IFERROR(M22/(M5/1000),"")</f>
        <v/>
      </c>
      <c r="N27" s="14">
        <f>IFERROR(N22/(N5/1000),"")</f>
        <v/>
      </c>
      <c r="O27" s="14">
        <f>IFERROR(O22/(O5/1000),"")</f>
        <v/>
      </c>
      <c r="P27" s="14">
        <f>IFERROR(P22/(P5/1000),"")</f>
        <v/>
      </c>
      <c r="Q27" s="14">
        <f>IFERROR(Q22/(Q5/1000),"")</f>
        <v/>
      </c>
      <c r="R27" s="14">
        <f>IFERROR(R22/(R5/1000),"")</f>
        <v/>
      </c>
      <c r="S27" s="14">
        <f>IFERROR(S22/(S5/1000),"")</f>
        <v/>
      </c>
      <c r="T27" s="14">
        <f>IFERROR(T22/(T5/1000),"")</f>
        <v/>
      </c>
      <c r="U27" s="14">
        <f>IFERROR(U22/(U5/1000),"")</f>
        <v/>
      </c>
      <c r="V27" s="14">
        <f>IFERROR(V22/(V5/1000),"")</f>
        <v/>
      </c>
      <c r="W27" s="14">
        <f>IFERROR(W22/(W5/1000),"")</f>
        <v/>
      </c>
      <c r="X27" s="14">
        <f>IFERROR(X22/(X5/1000),"")</f>
        <v/>
      </c>
      <c r="Y27" s="14">
        <f>IFERROR(Y22/(Y5/1000),"")</f>
        <v/>
      </c>
      <c r="Z27" s="14">
        <f>IFERROR(Z22/(Z5/1000),"")</f>
        <v/>
      </c>
      <c r="AA27" s="14">
        <f>IFERROR(AA22/(AA5/1000),"")</f>
        <v/>
      </c>
      <c r="AB27" s="14">
        <f>IFERROR(AB22/(AB5/1000),"")</f>
        <v/>
      </c>
      <c r="AC27" s="14">
        <f>IFERROR(AC22/(AC5/1000),"")</f>
        <v/>
      </c>
      <c r="AD27" s="14">
        <f>IFERROR(AD22/(AD5/1000),"")</f>
        <v/>
      </c>
      <c r="AE27" s="14">
        <f>IFERROR(AE22/(AE5/1000),"")</f>
        <v/>
      </c>
      <c r="AF27" s="14">
        <f>IFERROR(AF22/(AF5/1000),"")</f>
        <v/>
      </c>
      <c r="AG27" s="14">
        <f>IFERROR(AG22/(AG5/1000),"")</f>
        <v/>
      </c>
      <c r="AH27" s="14">
        <f>IFERROR(AH22/(AH5/1000),"")</f>
        <v/>
      </c>
      <c r="AI27" s="14">
        <f>IFERROR(AI22/(AI5/1000),"")</f>
        <v/>
      </c>
      <c r="AJ27" s="14">
        <f>IFERROR(AJ22/(AJ5/1000),"")</f>
        <v/>
      </c>
      <c r="AK27" s="14">
        <f>IFERROR(AK22/(AK5/1000),"")</f>
        <v/>
      </c>
      <c r="AL27" s="14">
        <f>IFERROR(AL22/(AL5/1000),"")</f>
        <v/>
      </c>
      <c r="AM27" s="14">
        <f>IFERROR(AM22/(AM5/1000),"")</f>
        <v/>
      </c>
      <c r="AN27" s="14">
        <f>IFERROR(AN22/(AN5/1000),"")</f>
        <v/>
      </c>
      <c r="AO27" s="14">
        <f>IFERROR(AO22/(AO5/1000),"")</f>
        <v/>
      </c>
      <c r="AP27" s="14">
        <f>IFERROR(AP22/(AP5/1000),"")</f>
        <v/>
      </c>
      <c r="AQ27" s="14">
        <f>IFERROR(AQ22/(AQ5/1000),"")</f>
        <v/>
      </c>
      <c r="AR27" s="14">
        <f>IFERROR(AR22/(AR5/1000),"")</f>
        <v/>
      </c>
      <c r="AS27" s="14">
        <f>IFERROR(AS22/(AS5/1000),"")</f>
        <v/>
      </c>
      <c r="AT27" s="14">
        <f>IFERROR(AT22/(AT5/1000),"")</f>
        <v/>
      </c>
      <c r="AU27" s="14">
        <f>IFERROR(AU22/(AU5/1000),"")</f>
        <v/>
      </c>
      <c r="AV27" s="14">
        <f>IFERROR(AV22/(AV5/1000),"")</f>
        <v/>
      </c>
      <c r="AW27" s="14">
        <f>IFERROR(AW22/(AW5/1000),"")</f>
        <v/>
      </c>
      <c r="AX27" s="14">
        <f>IFERROR(AX22/(AX5/1000),"")</f>
        <v/>
      </c>
      <c r="AY27" s="14">
        <f>IFERROR(AY22/(AY5/1000),"")</f>
        <v/>
      </c>
      <c r="AZ27" s="14">
        <f>IFERROR(AZ22/(AZ5/1000),"")</f>
        <v/>
      </c>
      <c r="BA27" s="14">
        <f>IFERROR(BA22/(BA5/1000),"")</f>
        <v/>
      </c>
      <c r="BB27" s="14">
        <f>IFERROR(BB22/(BB5/1000),"")</f>
        <v/>
      </c>
      <c r="BC27" s="14">
        <f>IFERROR(BC22/(BC5/1000),"")</f>
        <v/>
      </c>
      <c r="BD27" s="14">
        <f>IFERROR(BD22/(BD5/1000),"")</f>
        <v/>
      </c>
      <c r="BE27" s="14">
        <f>IFERROR(BE22/(BE5/1000),"")</f>
        <v/>
      </c>
      <c r="BF27" s="14">
        <f>IFERROR(BF22/(BF5/1000),"")</f>
        <v/>
      </c>
      <c r="BG27" s="14">
        <f>IFERROR(BG22/(BG5/1000),"")</f>
        <v/>
      </c>
      <c r="BH27" s="14">
        <f>IFERROR(BH22/(BH5/1000),"")</f>
        <v/>
      </c>
      <c r="BI27" s="14">
        <f>IFERROR(BI22/(BI5/1000),"")</f>
        <v/>
      </c>
      <c r="BJ27" s="14">
        <f>IFERROR(BJ22/(BJ5/1000),"")</f>
        <v/>
      </c>
      <c r="BK27" s="14">
        <f>IFERROR(BK22/(BK5/1000),"")</f>
        <v/>
      </c>
      <c r="BL27" s="14">
        <f>IFERROR(BL22/(BL5/1000),"")</f>
        <v/>
      </c>
    </row>
    <row r="28">
      <c r="A28" s="4" t="inlineStr">
        <is>
          <t>Prix actuel / portion (€)</t>
        </is>
      </c>
      <c r="B28" s="13">
        <f>IFERROR(B22/B15,"")</f>
        <v/>
      </c>
      <c r="C28" s="13">
        <f>IFERROR(C22/C15,"")</f>
        <v/>
      </c>
      <c r="D28" s="13">
        <f>IFERROR(D22/D15,"")</f>
        <v/>
      </c>
      <c r="E28" s="13">
        <f>IFERROR(E22/E15,"")</f>
        <v/>
      </c>
      <c r="F28" s="13">
        <f>IFERROR(F22/F15,"")</f>
        <v/>
      </c>
      <c r="G28" s="14">
        <f>IFERROR(G22/G15,"")</f>
        <v/>
      </c>
      <c r="H28" s="14">
        <f>IFERROR(H22/H15,"")</f>
        <v/>
      </c>
      <c r="I28" s="14">
        <f>IFERROR(I22/I15,"")</f>
        <v/>
      </c>
      <c r="J28" s="14">
        <f>IFERROR(J22/J15,"")</f>
        <v/>
      </c>
      <c r="K28" s="14">
        <f>IFERROR(K22/K15,"")</f>
        <v/>
      </c>
      <c r="L28" s="14">
        <f>IFERROR(L22/L15,"")</f>
        <v/>
      </c>
      <c r="M28" s="14">
        <f>IFERROR(M22/M15,"")</f>
        <v/>
      </c>
      <c r="N28" s="14">
        <f>IFERROR(N22/N15,"")</f>
        <v/>
      </c>
      <c r="O28" s="14">
        <f>IFERROR(O22/O15,"")</f>
        <v/>
      </c>
      <c r="P28" s="14">
        <f>IFERROR(P22/P15,"")</f>
        <v/>
      </c>
      <c r="Q28" s="14">
        <f>IFERROR(Q22/Q15,"")</f>
        <v/>
      </c>
      <c r="R28" s="14">
        <f>IFERROR(R22/R15,"")</f>
        <v/>
      </c>
      <c r="S28" s="14">
        <f>IFERROR(S22/S15,"")</f>
        <v/>
      </c>
      <c r="T28" s="14">
        <f>IFERROR(T22/T15,"")</f>
        <v/>
      </c>
      <c r="U28" s="14">
        <f>IFERROR(U22/U15,"")</f>
        <v/>
      </c>
      <c r="V28" s="14">
        <f>IFERROR(V22/V15,"")</f>
        <v/>
      </c>
      <c r="W28" s="14">
        <f>IFERROR(W22/W15,"")</f>
        <v/>
      </c>
      <c r="X28" s="14">
        <f>IFERROR(X22/X15,"")</f>
        <v/>
      </c>
      <c r="Y28" s="14">
        <f>IFERROR(Y22/Y15,"")</f>
        <v/>
      </c>
      <c r="Z28" s="14">
        <f>IFERROR(Z22/Z15,"")</f>
        <v/>
      </c>
      <c r="AA28" s="14">
        <f>IFERROR(AA22/AA15,"")</f>
        <v/>
      </c>
      <c r="AB28" s="14">
        <f>IFERROR(AB22/AB15,"")</f>
        <v/>
      </c>
      <c r="AC28" s="14">
        <f>IFERROR(AC22/AC15,"")</f>
        <v/>
      </c>
      <c r="AD28" s="14">
        <f>IFERROR(AD22/AD15,"")</f>
        <v/>
      </c>
      <c r="AE28" s="14">
        <f>IFERROR(AE22/AE15,"")</f>
        <v/>
      </c>
      <c r="AF28" s="14">
        <f>IFERROR(AF22/AF15,"")</f>
        <v/>
      </c>
      <c r="AG28" s="14">
        <f>IFERROR(AG22/AG15,"")</f>
        <v/>
      </c>
      <c r="AH28" s="14">
        <f>IFERROR(AH22/AH15,"")</f>
        <v/>
      </c>
      <c r="AI28" s="14">
        <f>IFERROR(AI22/AI15,"")</f>
        <v/>
      </c>
      <c r="AJ28" s="14">
        <f>IFERROR(AJ22/AJ15,"")</f>
        <v/>
      </c>
      <c r="AK28" s="14">
        <f>IFERROR(AK22/AK15,"")</f>
        <v/>
      </c>
      <c r="AL28" s="14">
        <f>IFERROR(AL22/AL15,"")</f>
        <v/>
      </c>
      <c r="AM28" s="14">
        <f>IFERROR(AM22/AM15,"")</f>
        <v/>
      </c>
      <c r="AN28" s="14">
        <f>IFERROR(AN22/AN15,"")</f>
        <v/>
      </c>
      <c r="AO28" s="14">
        <f>IFERROR(AO22/AO15,"")</f>
        <v/>
      </c>
      <c r="AP28" s="14">
        <f>IFERROR(AP22/AP15,"")</f>
        <v/>
      </c>
      <c r="AQ28" s="14">
        <f>IFERROR(AQ22/AQ15,"")</f>
        <v/>
      </c>
      <c r="AR28" s="14">
        <f>IFERROR(AR22/AR15,"")</f>
        <v/>
      </c>
      <c r="AS28" s="14">
        <f>IFERROR(AS22/AS15,"")</f>
        <v/>
      </c>
      <c r="AT28" s="14">
        <f>IFERROR(AT22/AT15,"")</f>
        <v/>
      </c>
      <c r="AU28" s="14">
        <f>IFERROR(AU22/AU15,"")</f>
        <v/>
      </c>
      <c r="AV28" s="14">
        <f>IFERROR(AV22/AV15,"")</f>
        <v/>
      </c>
      <c r="AW28" s="14">
        <f>IFERROR(AW22/AW15,"")</f>
        <v/>
      </c>
      <c r="AX28" s="14">
        <f>IFERROR(AX22/AX15,"")</f>
        <v/>
      </c>
      <c r="AY28" s="14">
        <f>IFERROR(AY22/AY15,"")</f>
        <v/>
      </c>
      <c r="AZ28" s="14">
        <f>IFERROR(AZ22/AZ15,"")</f>
        <v/>
      </c>
      <c r="BA28" s="14">
        <f>IFERROR(BA22/BA15,"")</f>
        <v/>
      </c>
      <c r="BB28" s="14">
        <f>IFERROR(BB22/BB15,"")</f>
        <v/>
      </c>
      <c r="BC28" s="14">
        <f>IFERROR(BC22/BC15,"")</f>
        <v/>
      </c>
      <c r="BD28" s="14">
        <f>IFERROR(BD22/BD15,"")</f>
        <v/>
      </c>
      <c r="BE28" s="14">
        <f>IFERROR(BE22/BE15,"")</f>
        <v/>
      </c>
      <c r="BF28" s="14">
        <f>IFERROR(BF22/BF15,"")</f>
        <v/>
      </c>
      <c r="BG28" s="14">
        <f>IFERROR(BG22/BG15,"")</f>
        <v/>
      </c>
      <c r="BH28" s="14">
        <f>IFERROR(BH22/BH15,"")</f>
        <v/>
      </c>
      <c r="BI28" s="14">
        <f>IFERROR(BI22/BI15,"")</f>
        <v/>
      </c>
      <c r="BJ28" s="14">
        <f>IFERROR(BJ22/BJ15,"")</f>
        <v/>
      </c>
      <c r="BK28" s="14">
        <f>IFERROR(BK22/BK15,"")</f>
        <v/>
      </c>
      <c r="BL28" s="14">
        <f>IFERROR(BL22/BL15,"")</f>
        <v/>
      </c>
    </row>
    <row r="29">
      <c r="A29" s="4" t="inlineStr">
        <is>
          <t>Prix actuel / g de protéine (€)</t>
        </is>
      </c>
      <c r="B29" s="15">
        <f>IFERROR(B22/(B15*B13),"")</f>
        <v/>
      </c>
      <c r="C29" s="15">
        <f>IFERROR(C22/(C15*C13),"")</f>
        <v/>
      </c>
      <c r="D29" s="15">
        <f>IFERROR(D22/(D15*D13),"")</f>
        <v/>
      </c>
      <c r="E29" s="15">
        <f>IFERROR(E22/(E15*E13),"")</f>
        <v/>
      </c>
      <c r="F29" s="15">
        <f>IFERROR(F22/(F15*F13),"")</f>
        <v/>
      </c>
      <c r="G29" s="16">
        <f>IFERROR(G22/(G15*G13),"")</f>
        <v/>
      </c>
      <c r="H29" s="16">
        <f>IFERROR(H22/(H15*H13),"")</f>
        <v/>
      </c>
      <c r="I29" s="16">
        <f>IFERROR(I22/(I15*I13),"")</f>
        <v/>
      </c>
      <c r="J29" s="16">
        <f>IFERROR(J22/(J15*J13),"")</f>
        <v/>
      </c>
      <c r="K29" s="16">
        <f>IFERROR(K22/(K15*K13),"")</f>
        <v/>
      </c>
      <c r="L29" s="16">
        <f>IFERROR(L22/(L15*L13),"")</f>
        <v/>
      </c>
      <c r="M29" s="16">
        <f>IFERROR(M22/(M15*M13),"")</f>
        <v/>
      </c>
      <c r="N29" s="16">
        <f>IFERROR(N22/(N15*N13),"")</f>
        <v/>
      </c>
      <c r="O29" s="16">
        <f>IFERROR(O22/(O15*O13),"")</f>
        <v/>
      </c>
      <c r="P29" s="16">
        <f>IFERROR(P22/(P15*P13),"")</f>
        <v/>
      </c>
      <c r="Q29" s="16">
        <f>IFERROR(Q22/(Q15*Q13),"")</f>
        <v/>
      </c>
      <c r="R29" s="16">
        <f>IFERROR(R22/(R15*R13),"")</f>
        <v/>
      </c>
      <c r="S29" s="16">
        <f>IFERROR(S22/(S15*S13),"")</f>
        <v/>
      </c>
      <c r="T29" s="16">
        <f>IFERROR(T22/(T15*T13),"")</f>
        <v/>
      </c>
      <c r="U29" s="16">
        <f>IFERROR(U22/(U15*U13),"")</f>
        <v/>
      </c>
      <c r="V29" s="16">
        <f>IFERROR(V22/(V15*V13),"")</f>
        <v/>
      </c>
      <c r="W29" s="16">
        <f>IFERROR(W22/(W15*W13),"")</f>
        <v/>
      </c>
      <c r="X29" s="16">
        <f>IFERROR(X22/(X15*X13),"")</f>
        <v/>
      </c>
      <c r="Y29" s="16">
        <f>IFERROR(Y22/(Y15*Y13),"")</f>
        <v/>
      </c>
      <c r="Z29" s="16">
        <f>IFERROR(Z22/(Z15*Z13),"")</f>
        <v/>
      </c>
      <c r="AA29" s="16">
        <f>IFERROR(AA22/(AA15*AA13),"")</f>
        <v/>
      </c>
      <c r="AB29" s="16">
        <f>IFERROR(AB22/(AB15*AB13),"")</f>
        <v/>
      </c>
      <c r="AC29" s="16">
        <f>IFERROR(AC22/(AC15*AC13),"")</f>
        <v/>
      </c>
      <c r="AD29" s="16">
        <f>IFERROR(AD22/(AD15*AD13),"")</f>
        <v/>
      </c>
      <c r="AE29" s="16">
        <f>IFERROR(AE22/(AE15*AE13),"")</f>
        <v/>
      </c>
      <c r="AF29" s="16">
        <f>IFERROR(AF22/(AF15*AF13),"")</f>
        <v/>
      </c>
      <c r="AG29" s="16">
        <f>IFERROR(AG22/(AG15*AG13),"")</f>
        <v/>
      </c>
      <c r="AH29" s="16">
        <f>IFERROR(AH22/(AH15*AH13),"")</f>
        <v/>
      </c>
      <c r="AI29" s="16">
        <f>IFERROR(AI22/(AI15*AI13),"")</f>
        <v/>
      </c>
      <c r="AJ29" s="16">
        <f>IFERROR(AJ22/(AJ15*AJ13),"")</f>
        <v/>
      </c>
      <c r="AK29" s="16">
        <f>IFERROR(AK22/(AK15*AK13),"")</f>
        <v/>
      </c>
      <c r="AL29" s="16">
        <f>IFERROR(AL22/(AL15*AL13),"")</f>
        <v/>
      </c>
      <c r="AM29" s="16">
        <f>IFERROR(AM22/(AM15*AM13),"")</f>
        <v/>
      </c>
      <c r="AN29" s="16">
        <f>IFERROR(AN22/(AN15*AN13),"")</f>
        <v/>
      </c>
      <c r="AO29" s="16">
        <f>IFERROR(AO22/(AO15*AO13),"")</f>
        <v/>
      </c>
      <c r="AP29" s="16">
        <f>IFERROR(AP22/(AP15*AP13),"")</f>
        <v/>
      </c>
      <c r="AQ29" s="16">
        <f>IFERROR(AQ22/(AQ15*AQ13),"")</f>
        <v/>
      </c>
      <c r="AR29" s="16">
        <f>IFERROR(AR22/(AR15*AR13),"")</f>
        <v/>
      </c>
      <c r="AS29" s="16">
        <f>IFERROR(AS22/(AS15*AS13),"")</f>
        <v/>
      </c>
      <c r="AT29" s="16">
        <f>IFERROR(AT22/(AT15*AT13),"")</f>
        <v/>
      </c>
      <c r="AU29" s="16">
        <f>IFERROR(AU22/(AU15*AU13),"")</f>
        <v/>
      </c>
      <c r="AV29" s="16">
        <f>IFERROR(AV22/(AV15*AV13),"")</f>
        <v/>
      </c>
      <c r="AW29" s="16">
        <f>IFERROR(AW22/(AW15*AW13),"")</f>
        <v/>
      </c>
      <c r="AX29" s="16">
        <f>IFERROR(AX22/(AX15*AX13),"")</f>
        <v/>
      </c>
      <c r="AY29" s="16">
        <f>IFERROR(AY22/(AY15*AY13),"")</f>
        <v/>
      </c>
      <c r="AZ29" s="16">
        <f>IFERROR(AZ22/(AZ15*AZ13),"")</f>
        <v/>
      </c>
      <c r="BA29" s="16">
        <f>IFERROR(BA22/(BA15*BA13),"")</f>
        <v/>
      </c>
      <c r="BB29" s="16">
        <f>IFERROR(BB22/(BB15*BB13),"")</f>
        <v/>
      </c>
      <c r="BC29" s="16">
        <f>IFERROR(BC22/(BC15*BC13),"")</f>
        <v/>
      </c>
      <c r="BD29" s="16">
        <f>IFERROR(BD22/(BD15*BD13),"")</f>
        <v/>
      </c>
      <c r="BE29" s="16">
        <f>IFERROR(BE22/(BE15*BE13),"")</f>
        <v/>
      </c>
      <c r="BF29" s="16">
        <f>IFERROR(BF22/(BF15*BF13),"")</f>
        <v/>
      </c>
      <c r="BG29" s="16">
        <f>IFERROR(BG22/(BG15*BG13),"")</f>
        <v/>
      </c>
      <c r="BH29" s="16">
        <f>IFERROR(BH22/(BH15*BH13),"")</f>
        <v/>
      </c>
      <c r="BI29" s="16">
        <f>IFERROR(BI22/(BI15*BI13),"")</f>
        <v/>
      </c>
      <c r="BJ29" s="16">
        <f>IFERROR(BJ22/(BJ15*BJ13),"")</f>
        <v/>
      </c>
      <c r="BK29" s="16">
        <f>IFERROR(BK22/(BK15*BK13),"")</f>
        <v/>
      </c>
      <c r="BL29" s="16">
        <f>IFERROR(BL22/(BL15*BL13),"")</f>
        <v/>
      </c>
    </row>
    <row r="30">
      <c r="A30" s="4" t="inlineStr">
        <is>
          <t>Prix marché / g de protéine (€)</t>
        </is>
      </c>
      <c r="B30" s="15">
        <f>IFERROR(B23/(B15*B13),"")</f>
        <v/>
      </c>
      <c r="C30" s="15">
        <f>IFERROR(C23/(C15*C13),"")</f>
        <v/>
      </c>
      <c r="D30" s="15">
        <f>IFERROR(D23/(D15*D13),"")</f>
        <v/>
      </c>
      <c r="E30" s="15">
        <f>IFERROR(E23/(E15*E13),"")</f>
        <v/>
      </c>
      <c r="F30" s="15">
        <f>IFERROR(F23/(F15*F13),"")</f>
        <v/>
      </c>
      <c r="G30" s="16">
        <f>IFERROR(G23/(G15*G13),"")</f>
        <v/>
      </c>
      <c r="H30" s="16">
        <f>IFERROR(H23/(H15*H13),"")</f>
        <v/>
      </c>
      <c r="I30" s="16">
        <f>IFERROR(I23/(I15*I13),"")</f>
        <v/>
      </c>
      <c r="J30" s="16">
        <f>IFERROR(J23/(J15*J13),"")</f>
        <v/>
      </c>
      <c r="K30" s="16">
        <f>IFERROR(K23/(K15*K13),"")</f>
        <v/>
      </c>
      <c r="L30" s="16">
        <f>IFERROR(L23/(L15*L13),"")</f>
        <v/>
      </c>
      <c r="M30" s="16">
        <f>IFERROR(M23/(M15*M13),"")</f>
        <v/>
      </c>
      <c r="N30" s="16">
        <f>IFERROR(N23/(N15*N13),"")</f>
        <v/>
      </c>
      <c r="O30" s="16">
        <f>IFERROR(O23/(O15*O13),"")</f>
        <v/>
      </c>
      <c r="P30" s="16">
        <f>IFERROR(P23/(P15*P13),"")</f>
        <v/>
      </c>
      <c r="Q30" s="16">
        <f>IFERROR(Q23/(Q15*Q13),"")</f>
        <v/>
      </c>
      <c r="R30" s="16">
        <f>IFERROR(R23/(R15*R13),"")</f>
        <v/>
      </c>
      <c r="S30" s="16">
        <f>IFERROR(S23/(S15*S13),"")</f>
        <v/>
      </c>
      <c r="T30" s="16">
        <f>IFERROR(T23/(T15*T13),"")</f>
        <v/>
      </c>
      <c r="U30" s="16">
        <f>IFERROR(U23/(U15*U13),"")</f>
        <v/>
      </c>
      <c r="V30" s="16">
        <f>IFERROR(V23/(V15*V13),"")</f>
        <v/>
      </c>
      <c r="W30" s="16">
        <f>IFERROR(W23/(W15*W13),"")</f>
        <v/>
      </c>
      <c r="X30" s="16">
        <f>IFERROR(X23/(X15*X13),"")</f>
        <v/>
      </c>
      <c r="Y30" s="16">
        <f>IFERROR(Y23/(Y15*Y13),"")</f>
        <v/>
      </c>
      <c r="Z30" s="16">
        <f>IFERROR(Z23/(Z15*Z13),"")</f>
        <v/>
      </c>
      <c r="AA30" s="16">
        <f>IFERROR(AA23/(AA15*AA13),"")</f>
        <v/>
      </c>
      <c r="AB30" s="16">
        <f>IFERROR(AB23/(AB15*AB13),"")</f>
        <v/>
      </c>
      <c r="AC30" s="16">
        <f>IFERROR(AC23/(AC15*AC13),"")</f>
        <v/>
      </c>
      <c r="AD30" s="16">
        <f>IFERROR(AD23/(AD15*AD13),"")</f>
        <v/>
      </c>
      <c r="AE30" s="16">
        <f>IFERROR(AE23/(AE15*AE13),"")</f>
        <v/>
      </c>
      <c r="AF30" s="16">
        <f>IFERROR(AF23/(AF15*AF13),"")</f>
        <v/>
      </c>
      <c r="AG30" s="16">
        <f>IFERROR(AG23/(AG15*AG13),"")</f>
        <v/>
      </c>
      <c r="AH30" s="16">
        <f>IFERROR(AH23/(AH15*AH13),"")</f>
        <v/>
      </c>
      <c r="AI30" s="16">
        <f>IFERROR(AI23/(AI15*AI13),"")</f>
        <v/>
      </c>
      <c r="AJ30" s="16">
        <f>IFERROR(AJ23/(AJ15*AJ13),"")</f>
        <v/>
      </c>
      <c r="AK30" s="16">
        <f>IFERROR(AK23/(AK15*AK13),"")</f>
        <v/>
      </c>
      <c r="AL30" s="16">
        <f>IFERROR(AL23/(AL15*AL13),"")</f>
        <v/>
      </c>
      <c r="AM30" s="16">
        <f>IFERROR(AM23/(AM15*AM13),"")</f>
        <v/>
      </c>
      <c r="AN30" s="16">
        <f>IFERROR(AN23/(AN15*AN13),"")</f>
        <v/>
      </c>
      <c r="AO30" s="16">
        <f>IFERROR(AO23/(AO15*AO13),"")</f>
        <v/>
      </c>
      <c r="AP30" s="16">
        <f>IFERROR(AP23/(AP15*AP13),"")</f>
        <v/>
      </c>
      <c r="AQ30" s="16">
        <f>IFERROR(AQ23/(AQ15*AQ13),"")</f>
        <v/>
      </c>
      <c r="AR30" s="16">
        <f>IFERROR(AR23/(AR15*AR13),"")</f>
        <v/>
      </c>
      <c r="AS30" s="16">
        <f>IFERROR(AS23/(AS15*AS13),"")</f>
        <v/>
      </c>
      <c r="AT30" s="16">
        <f>IFERROR(AT23/(AT15*AT13),"")</f>
        <v/>
      </c>
      <c r="AU30" s="16">
        <f>IFERROR(AU23/(AU15*AU13),"")</f>
        <v/>
      </c>
      <c r="AV30" s="16">
        <f>IFERROR(AV23/(AV15*AV13),"")</f>
        <v/>
      </c>
      <c r="AW30" s="16">
        <f>IFERROR(AW23/(AW15*AW13),"")</f>
        <v/>
      </c>
      <c r="AX30" s="16">
        <f>IFERROR(AX23/(AX15*AX13),"")</f>
        <v/>
      </c>
      <c r="AY30" s="16">
        <f>IFERROR(AY23/(AY15*AY13),"")</f>
        <v/>
      </c>
      <c r="AZ30" s="16">
        <f>IFERROR(AZ23/(AZ15*AZ13),"")</f>
        <v/>
      </c>
      <c r="BA30" s="16">
        <f>IFERROR(BA23/(BA15*BA13),"")</f>
        <v/>
      </c>
      <c r="BB30" s="16">
        <f>IFERROR(BB23/(BB15*BB13),"")</f>
        <v/>
      </c>
      <c r="BC30" s="16">
        <f>IFERROR(BC23/(BC15*BC13),"")</f>
        <v/>
      </c>
      <c r="BD30" s="16">
        <f>IFERROR(BD23/(BD15*BD13),"")</f>
        <v/>
      </c>
      <c r="BE30" s="16">
        <f>IFERROR(BE23/(BE15*BE13),"")</f>
        <v/>
      </c>
      <c r="BF30" s="16">
        <f>IFERROR(BF23/(BF15*BF13),"")</f>
        <v/>
      </c>
      <c r="BG30" s="16">
        <f>IFERROR(BG23/(BG15*BG13),"")</f>
        <v/>
      </c>
      <c r="BH30" s="16">
        <f>IFERROR(BH23/(BH15*BH13),"")</f>
        <v/>
      </c>
      <c r="BI30" s="16">
        <f>IFERROR(BI23/(BI15*BI13),"")</f>
        <v/>
      </c>
      <c r="BJ30" s="16">
        <f>IFERROR(BJ23/(BJ15*BJ13),"")</f>
        <v/>
      </c>
      <c r="BK30" s="16">
        <f>IFERROR(BK23/(BK15*BK13),"")</f>
        <v/>
      </c>
      <c r="BL30" s="16">
        <f>IFERROR(BL23/(BL15*BL13),"")</f>
        <v/>
      </c>
    </row>
    <row r="31">
      <c r="A31" s="4" t="inlineStr">
        <is>
          <t>Prix abonnement (€ TTC)</t>
        </is>
      </c>
      <c r="B31" s="9" t="n"/>
      <c r="C31" s="9" t="n"/>
      <c r="D31" s="9" t="n"/>
      <c r="E31" s="9" t="n"/>
      <c r="F31" s="9" t="n"/>
      <c r="G31" s="10" t="n"/>
      <c r="H31" s="10" t="n"/>
      <c r="I31" s="10" t="n"/>
      <c r="J31" s="10" t="n"/>
      <c r="K31" s="10" t="n"/>
      <c r="L31" s="10" t="n"/>
      <c r="M31" s="10" t="n"/>
      <c r="N31" s="10" t="n"/>
      <c r="O31" s="10" t="n"/>
      <c r="P31" s="10" t="n"/>
      <c r="Q31" s="10" t="n"/>
      <c r="R31" s="10" t="n"/>
      <c r="S31" s="10" t="n"/>
      <c r="T31" s="10" t="n">
        <v>36.76</v>
      </c>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n"/>
      <c r="BG31" s="10" t="n"/>
      <c r="BH31" s="10" t="n"/>
      <c r="BI31" s="10" t="n"/>
      <c r="BJ31" s="10" t="n"/>
      <c r="BK31" s="10" t="n"/>
      <c r="BL31" s="10" t="n"/>
    </row>
    <row r="32">
      <c r="A32" s="4" t="inlineStr">
        <is>
          <t>Remise abo (%)</t>
        </is>
      </c>
      <c r="B32" s="9" t="n"/>
      <c r="C32" s="9" t="n"/>
      <c r="D32" s="9" t="n"/>
      <c r="E32" s="9" t="n"/>
      <c r="F32" s="9" t="n"/>
      <c r="G32" s="10" t="n"/>
      <c r="H32" s="10" t="n"/>
      <c r="I32" s="10" t="n"/>
      <c r="J32" s="10" t="n"/>
      <c r="K32" s="10" t="n"/>
      <c r="L32" s="10" t="n"/>
      <c r="M32" s="10" t="n"/>
      <c r="N32" s="10" t="n"/>
      <c r="O32" s="10" t="n"/>
      <c r="P32" s="10" t="n"/>
      <c r="Q32" s="10" t="n"/>
      <c r="R32" s="10" t="n"/>
      <c r="S32" s="10" t="n"/>
      <c r="T32" s="10" t="n">
        <v>20</v>
      </c>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row>
    <row r="33">
      <c r="A33" s="7" t="inlineStr">
        <is>
          <t>PRIX EFFECTIF (avec code influenceur appliqué sur prix actuel)</t>
        </is>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c r="AY33" s="8" t="n"/>
      <c r="AZ33" s="8" t="n"/>
      <c r="BA33" s="8" t="n"/>
      <c r="BB33" s="8" t="n"/>
      <c r="BC33" s="8" t="n"/>
      <c r="BD33" s="8" t="n"/>
      <c r="BE33" s="8" t="n"/>
      <c r="BF33" s="8" t="n"/>
      <c r="BG33" s="8" t="n"/>
      <c r="BH33" s="8" t="n"/>
      <c r="BI33" s="8" t="n"/>
      <c r="BJ33" s="8" t="n"/>
      <c r="BK33" s="8" t="n"/>
      <c r="BL33" s="8" t="n"/>
    </row>
    <row r="34">
      <c r="A34" s="4" t="inlineStr">
        <is>
          <t>Remise bas fourchette (%)</t>
        </is>
      </c>
      <c r="B34" s="17">
        <f>IFERROR(VLOOKUP(B1,'Discounts par marque'!$A:$G,3,FALSE),0)</f>
        <v/>
      </c>
      <c r="C34" s="17">
        <f>IFERROR(VLOOKUP(C1,'Discounts par marque'!$A:$G,3,FALSE),0)</f>
        <v/>
      </c>
      <c r="D34" s="17">
        <f>IFERROR(VLOOKUP(D1,'Discounts par marque'!$A:$G,3,FALSE),0)</f>
        <v/>
      </c>
      <c r="E34" s="17">
        <f>IFERROR(VLOOKUP(E1,'Discounts par marque'!$A:$G,3,FALSE),0)</f>
        <v/>
      </c>
      <c r="F34" s="17">
        <f>IFERROR(VLOOKUP(F1,'Discounts par marque'!$A:$G,3,FALSE),0)</f>
        <v/>
      </c>
      <c r="G34" s="18">
        <f>IFERROR(VLOOKUP(G1,'Discounts par marque'!$A:$G,3,FALSE),0)</f>
        <v/>
      </c>
      <c r="H34" s="18">
        <f>IFERROR(VLOOKUP(H1,'Discounts par marque'!$A:$G,3,FALSE),0)</f>
        <v/>
      </c>
      <c r="I34" s="18">
        <f>IFERROR(VLOOKUP(I1,'Discounts par marque'!$A:$G,3,FALSE),0)</f>
        <v/>
      </c>
      <c r="J34" s="18">
        <f>IFERROR(VLOOKUP(J1,'Discounts par marque'!$A:$G,3,FALSE),0)</f>
        <v/>
      </c>
      <c r="K34" s="18">
        <f>IFERROR(VLOOKUP(K1,'Discounts par marque'!$A:$G,3,FALSE),0)</f>
        <v/>
      </c>
      <c r="L34" s="18">
        <f>IFERROR(VLOOKUP(L1,'Discounts par marque'!$A:$G,3,FALSE),0)</f>
        <v/>
      </c>
      <c r="M34" s="18">
        <f>IFERROR(VLOOKUP(M1,'Discounts par marque'!$A:$G,3,FALSE),0)</f>
        <v/>
      </c>
      <c r="N34" s="18">
        <f>IFERROR(VLOOKUP(N1,'Discounts par marque'!$A:$G,3,FALSE),0)</f>
        <v/>
      </c>
      <c r="O34" s="18">
        <f>IFERROR(VLOOKUP(O1,'Discounts par marque'!$A:$G,3,FALSE),0)</f>
        <v/>
      </c>
      <c r="P34" s="18">
        <f>IFERROR(VLOOKUP(P1,'Discounts par marque'!$A:$G,3,FALSE),0)</f>
        <v/>
      </c>
      <c r="Q34" s="18">
        <f>IFERROR(VLOOKUP(Q1,'Discounts par marque'!$A:$G,3,FALSE),0)</f>
        <v/>
      </c>
      <c r="R34" s="18">
        <f>IFERROR(VLOOKUP(R1,'Discounts par marque'!$A:$G,3,FALSE),0)</f>
        <v/>
      </c>
      <c r="S34" s="18">
        <f>IFERROR(VLOOKUP(S1,'Discounts par marque'!$A:$G,3,FALSE),0)</f>
        <v/>
      </c>
      <c r="T34" s="18">
        <f>IFERROR(VLOOKUP(T1,'Discounts par marque'!$A:$G,3,FALSE),0)</f>
        <v/>
      </c>
      <c r="U34" s="18">
        <f>IFERROR(VLOOKUP(U1,'Discounts par marque'!$A:$G,3,FALSE),0)</f>
        <v/>
      </c>
      <c r="V34" s="18">
        <f>IFERROR(VLOOKUP(V1,'Discounts par marque'!$A:$G,3,FALSE),0)</f>
        <v/>
      </c>
      <c r="W34" s="18">
        <f>IFERROR(VLOOKUP(W1,'Discounts par marque'!$A:$G,3,FALSE),0)</f>
        <v/>
      </c>
      <c r="X34" s="18">
        <f>IFERROR(VLOOKUP(X1,'Discounts par marque'!$A:$G,3,FALSE),0)</f>
        <v/>
      </c>
      <c r="Y34" s="18">
        <f>IFERROR(VLOOKUP(Y1,'Discounts par marque'!$A:$G,3,FALSE),0)</f>
        <v/>
      </c>
      <c r="Z34" s="18">
        <f>IFERROR(VLOOKUP(Z1,'Discounts par marque'!$A:$G,3,FALSE),0)</f>
        <v/>
      </c>
      <c r="AA34" s="18">
        <f>IFERROR(VLOOKUP(AA1,'Discounts par marque'!$A:$G,3,FALSE),0)</f>
        <v/>
      </c>
      <c r="AB34" s="18">
        <f>IFERROR(VLOOKUP(AB1,'Discounts par marque'!$A:$G,3,FALSE),0)</f>
        <v/>
      </c>
      <c r="AC34" s="18">
        <f>IFERROR(VLOOKUP(AC1,'Discounts par marque'!$A:$G,3,FALSE),0)</f>
        <v/>
      </c>
      <c r="AD34" s="18">
        <f>IFERROR(VLOOKUP(AD1,'Discounts par marque'!$A:$G,3,FALSE),0)</f>
        <v/>
      </c>
      <c r="AE34" s="18">
        <f>IFERROR(VLOOKUP(AE1,'Discounts par marque'!$A:$G,3,FALSE),0)</f>
        <v/>
      </c>
      <c r="AF34" s="18">
        <f>IFERROR(VLOOKUP(AF1,'Discounts par marque'!$A:$G,3,FALSE),0)</f>
        <v/>
      </c>
      <c r="AG34" s="18">
        <f>IFERROR(VLOOKUP(AG1,'Discounts par marque'!$A:$G,3,FALSE),0)</f>
        <v/>
      </c>
      <c r="AH34" s="18">
        <f>IFERROR(VLOOKUP(AH1,'Discounts par marque'!$A:$G,3,FALSE),0)</f>
        <v/>
      </c>
      <c r="AI34" s="18">
        <f>IFERROR(VLOOKUP(AI1,'Discounts par marque'!$A:$G,3,FALSE),0)</f>
        <v/>
      </c>
      <c r="AJ34" s="18">
        <f>IFERROR(VLOOKUP(AJ1,'Discounts par marque'!$A:$G,3,FALSE),0)</f>
        <v/>
      </c>
      <c r="AK34" s="18">
        <f>IFERROR(VLOOKUP(AK1,'Discounts par marque'!$A:$G,3,FALSE),0)</f>
        <v/>
      </c>
      <c r="AL34" s="18">
        <f>IFERROR(VLOOKUP(AL1,'Discounts par marque'!$A:$G,3,FALSE),0)</f>
        <v/>
      </c>
      <c r="AM34" s="18">
        <f>IFERROR(VLOOKUP(AM1,'Discounts par marque'!$A:$G,3,FALSE),0)</f>
        <v/>
      </c>
      <c r="AN34" s="18">
        <f>IFERROR(VLOOKUP(AN1,'Discounts par marque'!$A:$G,3,FALSE),0)</f>
        <v/>
      </c>
      <c r="AO34" s="18">
        <f>IFERROR(VLOOKUP(AO1,'Discounts par marque'!$A:$G,3,FALSE),0)</f>
        <v/>
      </c>
      <c r="AP34" s="18">
        <f>IFERROR(VLOOKUP(AP1,'Discounts par marque'!$A:$G,3,FALSE),0)</f>
        <v/>
      </c>
      <c r="AQ34" s="18">
        <f>IFERROR(VLOOKUP(AQ1,'Discounts par marque'!$A:$G,3,FALSE),0)</f>
        <v/>
      </c>
      <c r="AR34" s="18">
        <f>IFERROR(VLOOKUP(AR1,'Discounts par marque'!$A:$G,3,FALSE),0)</f>
        <v/>
      </c>
      <c r="AS34" s="18">
        <f>IFERROR(VLOOKUP(AS1,'Discounts par marque'!$A:$G,3,FALSE),0)</f>
        <v/>
      </c>
      <c r="AT34" s="18">
        <f>IFERROR(VLOOKUP(AT1,'Discounts par marque'!$A:$G,3,FALSE),0)</f>
        <v/>
      </c>
      <c r="AU34" s="18">
        <f>IFERROR(VLOOKUP(AU1,'Discounts par marque'!$A:$G,3,FALSE),0)</f>
        <v/>
      </c>
      <c r="AV34" s="18">
        <f>IFERROR(VLOOKUP(AV1,'Discounts par marque'!$A:$G,3,FALSE),0)</f>
        <v/>
      </c>
      <c r="AW34" s="18">
        <f>IFERROR(VLOOKUP(AW1,'Discounts par marque'!$A:$G,3,FALSE),0)</f>
        <v/>
      </c>
      <c r="AX34" s="18">
        <f>IFERROR(VLOOKUP(AX1,'Discounts par marque'!$A:$G,3,FALSE),0)</f>
        <v/>
      </c>
      <c r="AY34" s="18">
        <f>IFERROR(VLOOKUP(AY1,'Discounts par marque'!$A:$G,3,FALSE),0)</f>
        <v/>
      </c>
      <c r="AZ34" s="18">
        <f>IFERROR(VLOOKUP(AZ1,'Discounts par marque'!$A:$G,3,FALSE),0)</f>
        <v/>
      </c>
      <c r="BA34" s="18">
        <f>IFERROR(VLOOKUP(BA1,'Discounts par marque'!$A:$G,3,FALSE),0)</f>
        <v/>
      </c>
      <c r="BB34" s="18">
        <f>IFERROR(VLOOKUP(BB1,'Discounts par marque'!$A:$G,3,FALSE),0)</f>
        <v/>
      </c>
      <c r="BC34" s="18">
        <f>IFERROR(VLOOKUP(BC1,'Discounts par marque'!$A:$G,3,FALSE),0)</f>
        <v/>
      </c>
      <c r="BD34" s="18">
        <f>IFERROR(VLOOKUP(BD1,'Discounts par marque'!$A:$G,3,FALSE),0)</f>
        <v/>
      </c>
      <c r="BE34" s="18">
        <f>IFERROR(VLOOKUP(BE1,'Discounts par marque'!$A:$G,3,FALSE),0)</f>
        <v/>
      </c>
      <c r="BF34" s="18">
        <f>IFERROR(VLOOKUP(BF1,'Discounts par marque'!$A:$G,3,FALSE),0)</f>
        <v/>
      </c>
      <c r="BG34" s="18">
        <f>IFERROR(VLOOKUP(BG1,'Discounts par marque'!$A:$G,3,FALSE),0)</f>
        <v/>
      </c>
      <c r="BH34" s="18">
        <f>IFERROR(VLOOKUP(BH1,'Discounts par marque'!$A:$G,3,FALSE),0)</f>
        <v/>
      </c>
      <c r="BI34" s="18">
        <f>IFERROR(VLOOKUP(BI1,'Discounts par marque'!$A:$G,3,FALSE),0)</f>
        <v/>
      </c>
      <c r="BJ34" s="18">
        <f>IFERROR(VLOOKUP(BJ1,'Discounts par marque'!$A:$G,3,FALSE),0)</f>
        <v/>
      </c>
      <c r="BK34" s="18">
        <f>IFERROR(VLOOKUP(BK1,'Discounts par marque'!$A:$G,3,FALSE),0)</f>
        <v/>
      </c>
      <c r="BL34" s="18">
        <f>IFERROR(VLOOKUP(BL1,'Discounts par marque'!$A:$G,3,FALSE),0)</f>
        <v/>
      </c>
    </row>
    <row r="35">
      <c r="A35" s="4" t="inlineStr">
        <is>
          <t>Remise client standard (%)</t>
        </is>
      </c>
      <c r="B35" s="17">
        <f>IFERROR(VLOOKUP(B1,'Discounts par marque'!$A:$G,4,FALSE),0)</f>
        <v/>
      </c>
      <c r="C35" s="17">
        <f>IFERROR(VLOOKUP(C1,'Discounts par marque'!$A:$G,4,FALSE),0)</f>
        <v/>
      </c>
      <c r="D35" s="17">
        <f>IFERROR(VLOOKUP(D1,'Discounts par marque'!$A:$G,4,FALSE),0)</f>
        <v/>
      </c>
      <c r="E35" s="17">
        <f>IFERROR(VLOOKUP(E1,'Discounts par marque'!$A:$G,4,FALSE),0)</f>
        <v/>
      </c>
      <c r="F35" s="17">
        <f>IFERROR(VLOOKUP(F1,'Discounts par marque'!$A:$G,4,FALSE),0)</f>
        <v/>
      </c>
      <c r="G35" s="18">
        <f>IFERROR(VLOOKUP(G1,'Discounts par marque'!$A:$G,4,FALSE),0)</f>
        <v/>
      </c>
      <c r="H35" s="18">
        <f>IFERROR(VLOOKUP(H1,'Discounts par marque'!$A:$G,4,FALSE),0)</f>
        <v/>
      </c>
      <c r="I35" s="18">
        <f>IFERROR(VLOOKUP(I1,'Discounts par marque'!$A:$G,4,FALSE),0)</f>
        <v/>
      </c>
      <c r="J35" s="18">
        <f>IFERROR(VLOOKUP(J1,'Discounts par marque'!$A:$G,4,FALSE),0)</f>
        <v/>
      </c>
      <c r="K35" s="18">
        <f>IFERROR(VLOOKUP(K1,'Discounts par marque'!$A:$G,4,FALSE),0)</f>
        <v/>
      </c>
      <c r="L35" s="18">
        <f>IFERROR(VLOOKUP(L1,'Discounts par marque'!$A:$G,4,FALSE),0)</f>
        <v/>
      </c>
      <c r="M35" s="18">
        <f>IFERROR(VLOOKUP(M1,'Discounts par marque'!$A:$G,4,FALSE),0)</f>
        <v/>
      </c>
      <c r="N35" s="18">
        <f>IFERROR(VLOOKUP(N1,'Discounts par marque'!$A:$G,4,FALSE),0)</f>
        <v/>
      </c>
      <c r="O35" s="18">
        <f>IFERROR(VLOOKUP(O1,'Discounts par marque'!$A:$G,4,FALSE),0)</f>
        <v/>
      </c>
      <c r="P35" s="18">
        <f>IFERROR(VLOOKUP(P1,'Discounts par marque'!$A:$G,4,FALSE),0)</f>
        <v/>
      </c>
      <c r="Q35" s="18">
        <f>IFERROR(VLOOKUP(Q1,'Discounts par marque'!$A:$G,4,FALSE),0)</f>
        <v/>
      </c>
      <c r="R35" s="18">
        <f>IFERROR(VLOOKUP(R1,'Discounts par marque'!$A:$G,4,FALSE),0)</f>
        <v/>
      </c>
      <c r="S35" s="18">
        <f>IFERROR(VLOOKUP(S1,'Discounts par marque'!$A:$G,4,FALSE),0)</f>
        <v/>
      </c>
      <c r="T35" s="18">
        <f>IFERROR(VLOOKUP(T1,'Discounts par marque'!$A:$G,4,FALSE),0)</f>
        <v/>
      </c>
      <c r="U35" s="18">
        <f>IFERROR(VLOOKUP(U1,'Discounts par marque'!$A:$G,4,FALSE),0)</f>
        <v/>
      </c>
      <c r="V35" s="18">
        <f>IFERROR(VLOOKUP(V1,'Discounts par marque'!$A:$G,4,FALSE),0)</f>
        <v/>
      </c>
      <c r="W35" s="18">
        <f>IFERROR(VLOOKUP(W1,'Discounts par marque'!$A:$G,4,FALSE),0)</f>
        <v/>
      </c>
      <c r="X35" s="18">
        <f>IFERROR(VLOOKUP(X1,'Discounts par marque'!$A:$G,4,FALSE),0)</f>
        <v/>
      </c>
      <c r="Y35" s="18">
        <f>IFERROR(VLOOKUP(Y1,'Discounts par marque'!$A:$G,4,FALSE),0)</f>
        <v/>
      </c>
      <c r="Z35" s="18">
        <f>IFERROR(VLOOKUP(Z1,'Discounts par marque'!$A:$G,4,FALSE),0)</f>
        <v/>
      </c>
      <c r="AA35" s="18">
        <f>IFERROR(VLOOKUP(AA1,'Discounts par marque'!$A:$G,4,FALSE),0)</f>
        <v/>
      </c>
      <c r="AB35" s="18">
        <f>IFERROR(VLOOKUP(AB1,'Discounts par marque'!$A:$G,4,FALSE),0)</f>
        <v/>
      </c>
      <c r="AC35" s="18">
        <f>IFERROR(VLOOKUP(AC1,'Discounts par marque'!$A:$G,4,FALSE),0)</f>
        <v/>
      </c>
      <c r="AD35" s="18">
        <f>IFERROR(VLOOKUP(AD1,'Discounts par marque'!$A:$G,4,FALSE),0)</f>
        <v/>
      </c>
      <c r="AE35" s="18">
        <f>IFERROR(VLOOKUP(AE1,'Discounts par marque'!$A:$G,4,FALSE),0)</f>
        <v/>
      </c>
      <c r="AF35" s="18">
        <f>IFERROR(VLOOKUP(AF1,'Discounts par marque'!$A:$G,4,FALSE),0)</f>
        <v/>
      </c>
      <c r="AG35" s="18">
        <f>IFERROR(VLOOKUP(AG1,'Discounts par marque'!$A:$G,4,FALSE),0)</f>
        <v/>
      </c>
      <c r="AH35" s="18">
        <f>IFERROR(VLOOKUP(AH1,'Discounts par marque'!$A:$G,4,FALSE),0)</f>
        <v/>
      </c>
      <c r="AI35" s="18">
        <f>IFERROR(VLOOKUP(AI1,'Discounts par marque'!$A:$G,4,FALSE),0)</f>
        <v/>
      </c>
      <c r="AJ35" s="18">
        <f>IFERROR(VLOOKUP(AJ1,'Discounts par marque'!$A:$G,4,FALSE),0)</f>
        <v/>
      </c>
      <c r="AK35" s="18">
        <f>IFERROR(VLOOKUP(AK1,'Discounts par marque'!$A:$G,4,FALSE),0)</f>
        <v/>
      </c>
      <c r="AL35" s="18">
        <f>IFERROR(VLOOKUP(AL1,'Discounts par marque'!$A:$G,4,FALSE),0)</f>
        <v/>
      </c>
      <c r="AM35" s="18">
        <f>IFERROR(VLOOKUP(AM1,'Discounts par marque'!$A:$G,4,FALSE),0)</f>
        <v/>
      </c>
      <c r="AN35" s="18">
        <f>IFERROR(VLOOKUP(AN1,'Discounts par marque'!$A:$G,4,FALSE),0)</f>
        <v/>
      </c>
      <c r="AO35" s="18">
        <f>IFERROR(VLOOKUP(AO1,'Discounts par marque'!$A:$G,4,FALSE),0)</f>
        <v/>
      </c>
      <c r="AP35" s="18">
        <f>IFERROR(VLOOKUP(AP1,'Discounts par marque'!$A:$G,4,FALSE),0)</f>
        <v/>
      </c>
      <c r="AQ35" s="18">
        <f>IFERROR(VLOOKUP(AQ1,'Discounts par marque'!$A:$G,4,FALSE),0)</f>
        <v/>
      </c>
      <c r="AR35" s="18">
        <f>IFERROR(VLOOKUP(AR1,'Discounts par marque'!$A:$G,4,FALSE),0)</f>
        <v/>
      </c>
      <c r="AS35" s="18">
        <f>IFERROR(VLOOKUP(AS1,'Discounts par marque'!$A:$G,4,FALSE),0)</f>
        <v/>
      </c>
      <c r="AT35" s="18">
        <f>IFERROR(VLOOKUP(AT1,'Discounts par marque'!$A:$G,4,FALSE),0)</f>
        <v/>
      </c>
      <c r="AU35" s="18">
        <f>IFERROR(VLOOKUP(AU1,'Discounts par marque'!$A:$G,4,FALSE),0)</f>
        <v/>
      </c>
      <c r="AV35" s="18">
        <f>IFERROR(VLOOKUP(AV1,'Discounts par marque'!$A:$G,4,FALSE),0)</f>
        <v/>
      </c>
      <c r="AW35" s="18">
        <f>IFERROR(VLOOKUP(AW1,'Discounts par marque'!$A:$G,4,FALSE),0)</f>
        <v/>
      </c>
      <c r="AX35" s="18">
        <f>IFERROR(VLOOKUP(AX1,'Discounts par marque'!$A:$G,4,FALSE),0)</f>
        <v/>
      </c>
      <c r="AY35" s="18">
        <f>IFERROR(VLOOKUP(AY1,'Discounts par marque'!$A:$G,4,FALSE),0)</f>
        <v/>
      </c>
      <c r="AZ35" s="18">
        <f>IFERROR(VLOOKUP(AZ1,'Discounts par marque'!$A:$G,4,FALSE),0)</f>
        <v/>
      </c>
      <c r="BA35" s="18">
        <f>IFERROR(VLOOKUP(BA1,'Discounts par marque'!$A:$G,4,FALSE),0)</f>
        <v/>
      </c>
      <c r="BB35" s="18">
        <f>IFERROR(VLOOKUP(BB1,'Discounts par marque'!$A:$G,4,FALSE),0)</f>
        <v/>
      </c>
      <c r="BC35" s="18">
        <f>IFERROR(VLOOKUP(BC1,'Discounts par marque'!$A:$G,4,FALSE),0)</f>
        <v/>
      </c>
      <c r="BD35" s="18">
        <f>IFERROR(VLOOKUP(BD1,'Discounts par marque'!$A:$G,4,FALSE),0)</f>
        <v/>
      </c>
      <c r="BE35" s="18">
        <f>IFERROR(VLOOKUP(BE1,'Discounts par marque'!$A:$G,4,FALSE),0)</f>
        <v/>
      </c>
      <c r="BF35" s="18">
        <f>IFERROR(VLOOKUP(BF1,'Discounts par marque'!$A:$G,4,FALSE),0)</f>
        <v/>
      </c>
      <c r="BG35" s="18">
        <f>IFERROR(VLOOKUP(BG1,'Discounts par marque'!$A:$G,4,FALSE),0)</f>
        <v/>
      </c>
      <c r="BH35" s="18">
        <f>IFERROR(VLOOKUP(BH1,'Discounts par marque'!$A:$G,4,FALSE),0)</f>
        <v/>
      </c>
      <c r="BI35" s="18">
        <f>IFERROR(VLOOKUP(BI1,'Discounts par marque'!$A:$G,4,FALSE),0)</f>
        <v/>
      </c>
      <c r="BJ35" s="18">
        <f>IFERROR(VLOOKUP(BJ1,'Discounts par marque'!$A:$G,4,FALSE),0)</f>
        <v/>
      </c>
      <c r="BK35" s="18">
        <f>IFERROR(VLOOKUP(BK1,'Discounts par marque'!$A:$G,4,FALSE),0)</f>
        <v/>
      </c>
      <c r="BL35" s="18">
        <f>IFERROR(VLOOKUP(BL1,'Discounts par marque'!$A:$G,4,FALSE),0)</f>
        <v/>
      </c>
    </row>
    <row r="36">
      <c r="A36" s="4" t="inlineStr">
        <is>
          <t>Remise client averti (%)</t>
        </is>
      </c>
      <c r="B36" s="17">
        <f>IFERROR(VLOOKUP(B1,'Discounts par marque'!$A:$G,5,FALSE),0)</f>
        <v/>
      </c>
      <c r="C36" s="17">
        <f>IFERROR(VLOOKUP(C1,'Discounts par marque'!$A:$G,5,FALSE),0)</f>
        <v/>
      </c>
      <c r="D36" s="17">
        <f>IFERROR(VLOOKUP(D1,'Discounts par marque'!$A:$G,5,FALSE),0)</f>
        <v/>
      </c>
      <c r="E36" s="17">
        <f>IFERROR(VLOOKUP(E1,'Discounts par marque'!$A:$G,5,FALSE),0)</f>
        <v/>
      </c>
      <c r="F36" s="17">
        <f>IFERROR(VLOOKUP(F1,'Discounts par marque'!$A:$G,5,FALSE),0)</f>
        <v/>
      </c>
      <c r="G36" s="18">
        <f>IFERROR(VLOOKUP(G1,'Discounts par marque'!$A:$G,5,FALSE),0)</f>
        <v/>
      </c>
      <c r="H36" s="18">
        <f>IFERROR(VLOOKUP(H1,'Discounts par marque'!$A:$G,5,FALSE),0)</f>
        <v/>
      </c>
      <c r="I36" s="18">
        <f>IFERROR(VLOOKUP(I1,'Discounts par marque'!$A:$G,5,FALSE),0)</f>
        <v/>
      </c>
      <c r="J36" s="18">
        <f>IFERROR(VLOOKUP(J1,'Discounts par marque'!$A:$G,5,FALSE),0)</f>
        <v/>
      </c>
      <c r="K36" s="18">
        <f>IFERROR(VLOOKUP(K1,'Discounts par marque'!$A:$G,5,FALSE),0)</f>
        <v/>
      </c>
      <c r="L36" s="18">
        <f>IFERROR(VLOOKUP(L1,'Discounts par marque'!$A:$G,5,FALSE),0)</f>
        <v/>
      </c>
      <c r="M36" s="18">
        <f>IFERROR(VLOOKUP(M1,'Discounts par marque'!$A:$G,5,FALSE),0)</f>
        <v/>
      </c>
      <c r="N36" s="18">
        <f>IFERROR(VLOOKUP(N1,'Discounts par marque'!$A:$G,5,FALSE),0)</f>
        <v/>
      </c>
      <c r="O36" s="18">
        <f>IFERROR(VLOOKUP(O1,'Discounts par marque'!$A:$G,5,FALSE),0)</f>
        <v/>
      </c>
      <c r="P36" s="18">
        <f>IFERROR(VLOOKUP(P1,'Discounts par marque'!$A:$G,5,FALSE),0)</f>
        <v/>
      </c>
      <c r="Q36" s="18">
        <f>IFERROR(VLOOKUP(Q1,'Discounts par marque'!$A:$G,5,FALSE),0)</f>
        <v/>
      </c>
      <c r="R36" s="18">
        <f>IFERROR(VLOOKUP(R1,'Discounts par marque'!$A:$G,5,FALSE),0)</f>
        <v/>
      </c>
      <c r="S36" s="18">
        <f>IFERROR(VLOOKUP(S1,'Discounts par marque'!$A:$G,5,FALSE),0)</f>
        <v/>
      </c>
      <c r="T36" s="18">
        <f>IFERROR(VLOOKUP(T1,'Discounts par marque'!$A:$G,5,FALSE),0)</f>
        <v/>
      </c>
      <c r="U36" s="18">
        <f>IFERROR(VLOOKUP(U1,'Discounts par marque'!$A:$G,5,FALSE),0)</f>
        <v/>
      </c>
      <c r="V36" s="18">
        <f>IFERROR(VLOOKUP(V1,'Discounts par marque'!$A:$G,5,FALSE),0)</f>
        <v/>
      </c>
      <c r="W36" s="18">
        <f>IFERROR(VLOOKUP(W1,'Discounts par marque'!$A:$G,5,FALSE),0)</f>
        <v/>
      </c>
      <c r="X36" s="18">
        <f>IFERROR(VLOOKUP(X1,'Discounts par marque'!$A:$G,5,FALSE),0)</f>
        <v/>
      </c>
      <c r="Y36" s="18">
        <f>IFERROR(VLOOKUP(Y1,'Discounts par marque'!$A:$G,5,FALSE),0)</f>
        <v/>
      </c>
      <c r="Z36" s="18">
        <f>IFERROR(VLOOKUP(Z1,'Discounts par marque'!$A:$G,5,FALSE),0)</f>
        <v/>
      </c>
      <c r="AA36" s="18">
        <f>IFERROR(VLOOKUP(AA1,'Discounts par marque'!$A:$G,5,FALSE),0)</f>
        <v/>
      </c>
      <c r="AB36" s="18">
        <f>IFERROR(VLOOKUP(AB1,'Discounts par marque'!$A:$G,5,FALSE),0)</f>
        <v/>
      </c>
      <c r="AC36" s="18">
        <f>IFERROR(VLOOKUP(AC1,'Discounts par marque'!$A:$G,5,FALSE),0)</f>
        <v/>
      </c>
      <c r="AD36" s="18">
        <f>IFERROR(VLOOKUP(AD1,'Discounts par marque'!$A:$G,5,FALSE),0)</f>
        <v/>
      </c>
      <c r="AE36" s="18">
        <f>IFERROR(VLOOKUP(AE1,'Discounts par marque'!$A:$G,5,FALSE),0)</f>
        <v/>
      </c>
      <c r="AF36" s="18">
        <f>IFERROR(VLOOKUP(AF1,'Discounts par marque'!$A:$G,5,FALSE),0)</f>
        <v/>
      </c>
      <c r="AG36" s="18">
        <f>IFERROR(VLOOKUP(AG1,'Discounts par marque'!$A:$G,5,FALSE),0)</f>
        <v/>
      </c>
      <c r="AH36" s="18">
        <f>IFERROR(VLOOKUP(AH1,'Discounts par marque'!$A:$G,5,FALSE),0)</f>
        <v/>
      </c>
      <c r="AI36" s="18">
        <f>IFERROR(VLOOKUP(AI1,'Discounts par marque'!$A:$G,5,FALSE),0)</f>
        <v/>
      </c>
      <c r="AJ36" s="18">
        <f>IFERROR(VLOOKUP(AJ1,'Discounts par marque'!$A:$G,5,FALSE),0)</f>
        <v/>
      </c>
      <c r="AK36" s="18">
        <f>IFERROR(VLOOKUP(AK1,'Discounts par marque'!$A:$G,5,FALSE),0)</f>
        <v/>
      </c>
      <c r="AL36" s="18">
        <f>IFERROR(VLOOKUP(AL1,'Discounts par marque'!$A:$G,5,FALSE),0)</f>
        <v/>
      </c>
      <c r="AM36" s="18">
        <f>IFERROR(VLOOKUP(AM1,'Discounts par marque'!$A:$G,5,FALSE),0)</f>
        <v/>
      </c>
      <c r="AN36" s="18">
        <f>IFERROR(VLOOKUP(AN1,'Discounts par marque'!$A:$G,5,FALSE),0)</f>
        <v/>
      </c>
      <c r="AO36" s="18">
        <f>IFERROR(VLOOKUP(AO1,'Discounts par marque'!$A:$G,5,FALSE),0)</f>
        <v/>
      </c>
      <c r="AP36" s="18">
        <f>IFERROR(VLOOKUP(AP1,'Discounts par marque'!$A:$G,5,FALSE),0)</f>
        <v/>
      </c>
      <c r="AQ36" s="18">
        <f>IFERROR(VLOOKUP(AQ1,'Discounts par marque'!$A:$G,5,FALSE),0)</f>
        <v/>
      </c>
      <c r="AR36" s="18">
        <f>IFERROR(VLOOKUP(AR1,'Discounts par marque'!$A:$G,5,FALSE),0)</f>
        <v/>
      </c>
      <c r="AS36" s="18">
        <f>IFERROR(VLOOKUP(AS1,'Discounts par marque'!$A:$G,5,FALSE),0)</f>
        <v/>
      </c>
      <c r="AT36" s="18">
        <f>IFERROR(VLOOKUP(AT1,'Discounts par marque'!$A:$G,5,FALSE),0)</f>
        <v/>
      </c>
      <c r="AU36" s="18">
        <f>IFERROR(VLOOKUP(AU1,'Discounts par marque'!$A:$G,5,FALSE),0)</f>
        <v/>
      </c>
      <c r="AV36" s="18">
        <f>IFERROR(VLOOKUP(AV1,'Discounts par marque'!$A:$G,5,FALSE),0)</f>
        <v/>
      </c>
      <c r="AW36" s="18">
        <f>IFERROR(VLOOKUP(AW1,'Discounts par marque'!$A:$G,5,FALSE),0)</f>
        <v/>
      </c>
      <c r="AX36" s="18">
        <f>IFERROR(VLOOKUP(AX1,'Discounts par marque'!$A:$G,5,FALSE),0)</f>
        <v/>
      </c>
      <c r="AY36" s="18">
        <f>IFERROR(VLOOKUP(AY1,'Discounts par marque'!$A:$G,5,FALSE),0)</f>
        <v/>
      </c>
      <c r="AZ36" s="18">
        <f>IFERROR(VLOOKUP(AZ1,'Discounts par marque'!$A:$G,5,FALSE),0)</f>
        <v/>
      </c>
      <c r="BA36" s="18">
        <f>IFERROR(VLOOKUP(BA1,'Discounts par marque'!$A:$G,5,FALSE),0)</f>
        <v/>
      </c>
      <c r="BB36" s="18">
        <f>IFERROR(VLOOKUP(BB1,'Discounts par marque'!$A:$G,5,FALSE),0)</f>
        <v/>
      </c>
      <c r="BC36" s="18">
        <f>IFERROR(VLOOKUP(BC1,'Discounts par marque'!$A:$G,5,FALSE),0)</f>
        <v/>
      </c>
      <c r="BD36" s="18">
        <f>IFERROR(VLOOKUP(BD1,'Discounts par marque'!$A:$G,5,FALSE),0)</f>
        <v/>
      </c>
      <c r="BE36" s="18">
        <f>IFERROR(VLOOKUP(BE1,'Discounts par marque'!$A:$G,5,FALSE),0)</f>
        <v/>
      </c>
      <c r="BF36" s="18">
        <f>IFERROR(VLOOKUP(BF1,'Discounts par marque'!$A:$G,5,FALSE),0)</f>
        <v/>
      </c>
      <c r="BG36" s="18">
        <f>IFERROR(VLOOKUP(BG1,'Discounts par marque'!$A:$G,5,FALSE),0)</f>
        <v/>
      </c>
      <c r="BH36" s="18">
        <f>IFERROR(VLOOKUP(BH1,'Discounts par marque'!$A:$G,5,FALSE),0)</f>
        <v/>
      </c>
      <c r="BI36" s="18">
        <f>IFERROR(VLOOKUP(BI1,'Discounts par marque'!$A:$G,5,FALSE),0)</f>
        <v/>
      </c>
      <c r="BJ36" s="18">
        <f>IFERROR(VLOOKUP(BJ1,'Discounts par marque'!$A:$G,5,FALSE),0)</f>
        <v/>
      </c>
      <c r="BK36" s="18">
        <f>IFERROR(VLOOKUP(BK1,'Discounts par marque'!$A:$G,5,FALSE),0)</f>
        <v/>
      </c>
      <c r="BL36" s="18">
        <f>IFERROR(VLOOKUP(BL1,'Discounts par marque'!$A:$G,5,FALSE),0)</f>
        <v/>
      </c>
    </row>
    <row r="37">
      <c r="A37" s="4" t="inlineStr">
        <is>
          <t>Remise plafond observé (%)</t>
        </is>
      </c>
      <c r="B37" s="17">
        <f>IFERROR(VLOOKUP(B1,'Discounts par marque'!$A:$G,6,FALSE),0)</f>
        <v/>
      </c>
      <c r="C37" s="17">
        <f>IFERROR(VLOOKUP(C1,'Discounts par marque'!$A:$G,6,FALSE),0)</f>
        <v/>
      </c>
      <c r="D37" s="17">
        <f>IFERROR(VLOOKUP(D1,'Discounts par marque'!$A:$G,6,FALSE),0)</f>
        <v/>
      </c>
      <c r="E37" s="17">
        <f>IFERROR(VLOOKUP(E1,'Discounts par marque'!$A:$G,6,FALSE),0)</f>
        <v/>
      </c>
      <c r="F37" s="17">
        <f>IFERROR(VLOOKUP(F1,'Discounts par marque'!$A:$G,6,FALSE),0)</f>
        <v/>
      </c>
      <c r="G37" s="18">
        <f>IFERROR(VLOOKUP(G1,'Discounts par marque'!$A:$G,6,FALSE),0)</f>
        <v/>
      </c>
      <c r="H37" s="18">
        <f>IFERROR(VLOOKUP(H1,'Discounts par marque'!$A:$G,6,FALSE),0)</f>
        <v/>
      </c>
      <c r="I37" s="18">
        <f>IFERROR(VLOOKUP(I1,'Discounts par marque'!$A:$G,6,FALSE),0)</f>
        <v/>
      </c>
      <c r="J37" s="18">
        <f>IFERROR(VLOOKUP(J1,'Discounts par marque'!$A:$G,6,FALSE),0)</f>
        <v/>
      </c>
      <c r="K37" s="18">
        <f>IFERROR(VLOOKUP(K1,'Discounts par marque'!$A:$G,6,FALSE),0)</f>
        <v/>
      </c>
      <c r="L37" s="18">
        <f>IFERROR(VLOOKUP(L1,'Discounts par marque'!$A:$G,6,FALSE),0)</f>
        <v/>
      </c>
      <c r="M37" s="18">
        <f>IFERROR(VLOOKUP(M1,'Discounts par marque'!$A:$G,6,FALSE),0)</f>
        <v/>
      </c>
      <c r="N37" s="18">
        <f>IFERROR(VLOOKUP(N1,'Discounts par marque'!$A:$G,6,FALSE),0)</f>
        <v/>
      </c>
      <c r="O37" s="18">
        <f>IFERROR(VLOOKUP(O1,'Discounts par marque'!$A:$G,6,FALSE),0)</f>
        <v/>
      </c>
      <c r="P37" s="18">
        <f>IFERROR(VLOOKUP(P1,'Discounts par marque'!$A:$G,6,FALSE),0)</f>
        <v/>
      </c>
      <c r="Q37" s="18">
        <f>IFERROR(VLOOKUP(Q1,'Discounts par marque'!$A:$G,6,FALSE),0)</f>
        <v/>
      </c>
      <c r="R37" s="18">
        <f>IFERROR(VLOOKUP(R1,'Discounts par marque'!$A:$G,6,FALSE),0)</f>
        <v/>
      </c>
      <c r="S37" s="18">
        <f>IFERROR(VLOOKUP(S1,'Discounts par marque'!$A:$G,6,FALSE),0)</f>
        <v/>
      </c>
      <c r="T37" s="18">
        <f>IFERROR(VLOOKUP(T1,'Discounts par marque'!$A:$G,6,FALSE),0)</f>
        <v/>
      </c>
      <c r="U37" s="18">
        <f>IFERROR(VLOOKUP(U1,'Discounts par marque'!$A:$G,6,FALSE),0)</f>
        <v/>
      </c>
      <c r="V37" s="18">
        <f>IFERROR(VLOOKUP(V1,'Discounts par marque'!$A:$G,6,FALSE),0)</f>
        <v/>
      </c>
      <c r="W37" s="18">
        <f>IFERROR(VLOOKUP(W1,'Discounts par marque'!$A:$G,6,FALSE),0)</f>
        <v/>
      </c>
      <c r="X37" s="18">
        <f>IFERROR(VLOOKUP(X1,'Discounts par marque'!$A:$G,6,FALSE),0)</f>
        <v/>
      </c>
      <c r="Y37" s="18">
        <f>IFERROR(VLOOKUP(Y1,'Discounts par marque'!$A:$G,6,FALSE),0)</f>
        <v/>
      </c>
      <c r="Z37" s="18">
        <f>IFERROR(VLOOKUP(Z1,'Discounts par marque'!$A:$G,6,FALSE),0)</f>
        <v/>
      </c>
      <c r="AA37" s="18">
        <f>IFERROR(VLOOKUP(AA1,'Discounts par marque'!$A:$G,6,FALSE),0)</f>
        <v/>
      </c>
      <c r="AB37" s="18">
        <f>IFERROR(VLOOKUP(AB1,'Discounts par marque'!$A:$G,6,FALSE),0)</f>
        <v/>
      </c>
      <c r="AC37" s="18">
        <f>IFERROR(VLOOKUP(AC1,'Discounts par marque'!$A:$G,6,FALSE),0)</f>
        <v/>
      </c>
      <c r="AD37" s="18">
        <f>IFERROR(VLOOKUP(AD1,'Discounts par marque'!$A:$G,6,FALSE),0)</f>
        <v/>
      </c>
      <c r="AE37" s="18">
        <f>IFERROR(VLOOKUP(AE1,'Discounts par marque'!$A:$G,6,FALSE),0)</f>
        <v/>
      </c>
      <c r="AF37" s="18">
        <f>IFERROR(VLOOKUP(AF1,'Discounts par marque'!$A:$G,6,FALSE),0)</f>
        <v/>
      </c>
      <c r="AG37" s="18">
        <f>IFERROR(VLOOKUP(AG1,'Discounts par marque'!$A:$G,6,FALSE),0)</f>
        <v/>
      </c>
      <c r="AH37" s="18">
        <f>IFERROR(VLOOKUP(AH1,'Discounts par marque'!$A:$G,6,FALSE),0)</f>
        <v/>
      </c>
      <c r="AI37" s="18">
        <f>IFERROR(VLOOKUP(AI1,'Discounts par marque'!$A:$G,6,FALSE),0)</f>
        <v/>
      </c>
      <c r="AJ37" s="18">
        <f>IFERROR(VLOOKUP(AJ1,'Discounts par marque'!$A:$G,6,FALSE),0)</f>
        <v/>
      </c>
      <c r="AK37" s="18">
        <f>IFERROR(VLOOKUP(AK1,'Discounts par marque'!$A:$G,6,FALSE),0)</f>
        <v/>
      </c>
      <c r="AL37" s="18">
        <f>IFERROR(VLOOKUP(AL1,'Discounts par marque'!$A:$G,6,FALSE),0)</f>
        <v/>
      </c>
      <c r="AM37" s="18">
        <f>IFERROR(VLOOKUP(AM1,'Discounts par marque'!$A:$G,6,FALSE),0)</f>
        <v/>
      </c>
      <c r="AN37" s="18">
        <f>IFERROR(VLOOKUP(AN1,'Discounts par marque'!$A:$G,6,FALSE),0)</f>
        <v/>
      </c>
      <c r="AO37" s="18">
        <f>IFERROR(VLOOKUP(AO1,'Discounts par marque'!$A:$G,6,FALSE),0)</f>
        <v/>
      </c>
      <c r="AP37" s="18">
        <f>IFERROR(VLOOKUP(AP1,'Discounts par marque'!$A:$G,6,FALSE),0)</f>
        <v/>
      </c>
      <c r="AQ37" s="18">
        <f>IFERROR(VLOOKUP(AQ1,'Discounts par marque'!$A:$G,6,FALSE),0)</f>
        <v/>
      </c>
      <c r="AR37" s="18">
        <f>IFERROR(VLOOKUP(AR1,'Discounts par marque'!$A:$G,6,FALSE),0)</f>
        <v/>
      </c>
      <c r="AS37" s="18">
        <f>IFERROR(VLOOKUP(AS1,'Discounts par marque'!$A:$G,6,FALSE),0)</f>
        <v/>
      </c>
      <c r="AT37" s="18">
        <f>IFERROR(VLOOKUP(AT1,'Discounts par marque'!$A:$G,6,FALSE),0)</f>
        <v/>
      </c>
      <c r="AU37" s="18">
        <f>IFERROR(VLOOKUP(AU1,'Discounts par marque'!$A:$G,6,FALSE),0)</f>
        <v/>
      </c>
      <c r="AV37" s="18">
        <f>IFERROR(VLOOKUP(AV1,'Discounts par marque'!$A:$G,6,FALSE),0)</f>
        <v/>
      </c>
      <c r="AW37" s="18">
        <f>IFERROR(VLOOKUP(AW1,'Discounts par marque'!$A:$G,6,FALSE),0)</f>
        <v/>
      </c>
      <c r="AX37" s="18">
        <f>IFERROR(VLOOKUP(AX1,'Discounts par marque'!$A:$G,6,FALSE),0)</f>
        <v/>
      </c>
      <c r="AY37" s="18">
        <f>IFERROR(VLOOKUP(AY1,'Discounts par marque'!$A:$G,6,FALSE),0)</f>
        <v/>
      </c>
      <c r="AZ37" s="18">
        <f>IFERROR(VLOOKUP(AZ1,'Discounts par marque'!$A:$G,6,FALSE),0)</f>
        <v/>
      </c>
      <c r="BA37" s="18">
        <f>IFERROR(VLOOKUP(BA1,'Discounts par marque'!$A:$G,6,FALSE),0)</f>
        <v/>
      </c>
      <c r="BB37" s="18">
        <f>IFERROR(VLOOKUP(BB1,'Discounts par marque'!$A:$G,6,FALSE),0)</f>
        <v/>
      </c>
      <c r="BC37" s="18">
        <f>IFERROR(VLOOKUP(BC1,'Discounts par marque'!$A:$G,6,FALSE),0)</f>
        <v/>
      </c>
      <c r="BD37" s="18">
        <f>IFERROR(VLOOKUP(BD1,'Discounts par marque'!$A:$G,6,FALSE),0)</f>
        <v/>
      </c>
      <c r="BE37" s="18">
        <f>IFERROR(VLOOKUP(BE1,'Discounts par marque'!$A:$G,6,FALSE),0)</f>
        <v/>
      </c>
      <c r="BF37" s="18">
        <f>IFERROR(VLOOKUP(BF1,'Discounts par marque'!$A:$G,6,FALSE),0)</f>
        <v/>
      </c>
      <c r="BG37" s="18">
        <f>IFERROR(VLOOKUP(BG1,'Discounts par marque'!$A:$G,6,FALSE),0)</f>
        <v/>
      </c>
      <c r="BH37" s="18">
        <f>IFERROR(VLOOKUP(BH1,'Discounts par marque'!$A:$G,6,FALSE),0)</f>
        <v/>
      </c>
      <c r="BI37" s="18">
        <f>IFERROR(VLOOKUP(BI1,'Discounts par marque'!$A:$G,6,FALSE),0)</f>
        <v/>
      </c>
      <c r="BJ37" s="18">
        <f>IFERROR(VLOOKUP(BJ1,'Discounts par marque'!$A:$G,6,FALSE),0)</f>
        <v/>
      </c>
      <c r="BK37" s="18">
        <f>IFERROR(VLOOKUP(BK1,'Discounts par marque'!$A:$G,6,FALSE),0)</f>
        <v/>
      </c>
      <c r="BL37" s="18">
        <f>IFERROR(VLOOKUP(BL1,'Discounts par marque'!$A:$G,6,FALSE),0)</f>
        <v/>
      </c>
    </row>
    <row r="38">
      <c r="A38" s="4" t="inlineStr">
        <is>
          <t>Prix client standard (€)</t>
        </is>
      </c>
      <c r="B38" s="13">
        <f>IFERROR(B22*(1-B35/100),"")</f>
        <v/>
      </c>
      <c r="C38" s="13">
        <f>IFERROR(C22*(1-C35/100),"")</f>
        <v/>
      </c>
      <c r="D38" s="13">
        <f>IFERROR(D22*(1-D35/100),"")</f>
        <v/>
      </c>
      <c r="E38" s="13">
        <f>IFERROR(E22*(1-E35/100),"")</f>
        <v/>
      </c>
      <c r="F38" s="13">
        <f>IFERROR(F22*(1-F35/100),"")</f>
        <v/>
      </c>
      <c r="G38" s="14">
        <f>IFERROR(G22*(1-G35/100),"")</f>
        <v/>
      </c>
      <c r="H38" s="14">
        <f>IFERROR(H22*(1-H35/100),"")</f>
        <v/>
      </c>
      <c r="I38" s="14">
        <f>IFERROR(I22*(1-I35/100),"")</f>
        <v/>
      </c>
      <c r="J38" s="14">
        <f>IFERROR(J22*(1-J35/100),"")</f>
        <v/>
      </c>
      <c r="K38" s="14">
        <f>IFERROR(K22*(1-K35/100),"")</f>
        <v/>
      </c>
      <c r="L38" s="14">
        <f>IFERROR(L22*(1-L35/100),"")</f>
        <v/>
      </c>
      <c r="M38" s="14">
        <f>IFERROR(M22*(1-M35/100),"")</f>
        <v/>
      </c>
      <c r="N38" s="14">
        <f>IFERROR(N22*(1-N35/100),"")</f>
        <v/>
      </c>
      <c r="O38" s="14">
        <f>IFERROR(O22*(1-O35/100),"")</f>
        <v/>
      </c>
      <c r="P38" s="14">
        <f>IFERROR(P22*(1-P35/100),"")</f>
        <v/>
      </c>
      <c r="Q38" s="14">
        <f>IFERROR(Q22*(1-Q35/100),"")</f>
        <v/>
      </c>
      <c r="R38" s="14">
        <f>IFERROR(R22*(1-R35/100),"")</f>
        <v/>
      </c>
      <c r="S38" s="14">
        <f>IFERROR(S22*(1-S35/100),"")</f>
        <v/>
      </c>
      <c r="T38" s="14">
        <f>IFERROR(T22*(1-T35/100),"")</f>
        <v/>
      </c>
      <c r="U38" s="14">
        <f>IFERROR(U22*(1-U35/100),"")</f>
        <v/>
      </c>
      <c r="V38" s="14">
        <f>IFERROR(V22*(1-V35/100),"")</f>
        <v/>
      </c>
      <c r="W38" s="14">
        <f>IFERROR(W22*(1-W35/100),"")</f>
        <v/>
      </c>
      <c r="X38" s="14">
        <f>IFERROR(X22*(1-X35/100),"")</f>
        <v/>
      </c>
      <c r="Y38" s="14">
        <f>IFERROR(Y22*(1-Y35/100),"")</f>
        <v/>
      </c>
      <c r="Z38" s="14">
        <f>IFERROR(Z22*(1-Z35/100),"")</f>
        <v/>
      </c>
      <c r="AA38" s="14">
        <f>IFERROR(AA22*(1-AA35/100),"")</f>
        <v/>
      </c>
      <c r="AB38" s="14">
        <f>IFERROR(AB22*(1-AB35/100),"")</f>
        <v/>
      </c>
      <c r="AC38" s="14">
        <f>IFERROR(AC22*(1-AC35/100),"")</f>
        <v/>
      </c>
      <c r="AD38" s="14">
        <f>IFERROR(AD22*(1-AD35/100),"")</f>
        <v/>
      </c>
      <c r="AE38" s="14">
        <f>IFERROR(AE22*(1-AE35/100),"")</f>
        <v/>
      </c>
      <c r="AF38" s="14">
        <f>IFERROR(AF22*(1-AF35/100),"")</f>
        <v/>
      </c>
      <c r="AG38" s="14">
        <f>IFERROR(AG22*(1-AG35/100),"")</f>
        <v/>
      </c>
      <c r="AH38" s="14">
        <f>IFERROR(AH22*(1-AH35/100),"")</f>
        <v/>
      </c>
      <c r="AI38" s="14">
        <f>IFERROR(AI22*(1-AI35/100),"")</f>
        <v/>
      </c>
      <c r="AJ38" s="14">
        <f>IFERROR(AJ22*(1-AJ35/100),"")</f>
        <v/>
      </c>
      <c r="AK38" s="14">
        <f>IFERROR(AK22*(1-AK35/100),"")</f>
        <v/>
      </c>
      <c r="AL38" s="14">
        <f>IFERROR(AL22*(1-AL35/100),"")</f>
        <v/>
      </c>
      <c r="AM38" s="14">
        <f>IFERROR(AM22*(1-AM35/100),"")</f>
        <v/>
      </c>
      <c r="AN38" s="14">
        <f>IFERROR(AN22*(1-AN35/100),"")</f>
        <v/>
      </c>
      <c r="AO38" s="14">
        <f>IFERROR(AO22*(1-AO35/100),"")</f>
        <v/>
      </c>
      <c r="AP38" s="14">
        <f>IFERROR(AP22*(1-AP35/100),"")</f>
        <v/>
      </c>
      <c r="AQ38" s="14">
        <f>IFERROR(AQ22*(1-AQ35/100),"")</f>
        <v/>
      </c>
      <c r="AR38" s="14">
        <f>IFERROR(AR22*(1-AR35/100),"")</f>
        <v/>
      </c>
      <c r="AS38" s="14">
        <f>IFERROR(AS22*(1-AS35/100),"")</f>
        <v/>
      </c>
      <c r="AT38" s="14">
        <f>IFERROR(AT22*(1-AT35/100),"")</f>
        <v/>
      </c>
      <c r="AU38" s="14">
        <f>IFERROR(AU22*(1-AU35/100),"")</f>
        <v/>
      </c>
      <c r="AV38" s="14">
        <f>IFERROR(AV22*(1-AV35/100),"")</f>
        <v/>
      </c>
      <c r="AW38" s="14">
        <f>IFERROR(AW22*(1-AW35/100),"")</f>
        <v/>
      </c>
      <c r="AX38" s="14">
        <f>IFERROR(AX22*(1-AX35/100),"")</f>
        <v/>
      </c>
      <c r="AY38" s="14">
        <f>IFERROR(AY22*(1-AY35/100),"")</f>
        <v/>
      </c>
      <c r="AZ38" s="14">
        <f>IFERROR(AZ22*(1-AZ35/100),"")</f>
        <v/>
      </c>
      <c r="BA38" s="14">
        <f>IFERROR(BA22*(1-BA35/100),"")</f>
        <v/>
      </c>
      <c r="BB38" s="14">
        <f>IFERROR(BB22*(1-BB35/100),"")</f>
        <v/>
      </c>
      <c r="BC38" s="14">
        <f>IFERROR(BC22*(1-BC35/100),"")</f>
        <v/>
      </c>
      <c r="BD38" s="14">
        <f>IFERROR(BD22*(1-BD35/100),"")</f>
        <v/>
      </c>
      <c r="BE38" s="14">
        <f>IFERROR(BE22*(1-BE35/100),"")</f>
        <v/>
      </c>
      <c r="BF38" s="14">
        <f>IFERROR(BF22*(1-BF35/100),"")</f>
        <v/>
      </c>
      <c r="BG38" s="14">
        <f>IFERROR(BG22*(1-BG35/100),"")</f>
        <v/>
      </c>
      <c r="BH38" s="14">
        <f>IFERROR(BH22*(1-BH35/100),"")</f>
        <v/>
      </c>
      <c r="BI38" s="14">
        <f>IFERROR(BI22*(1-BI35/100),"")</f>
        <v/>
      </c>
      <c r="BJ38" s="14">
        <f>IFERROR(BJ22*(1-BJ35/100),"")</f>
        <v/>
      </c>
      <c r="BK38" s="14">
        <f>IFERROR(BK22*(1-BK35/100),"")</f>
        <v/>
      </c>
      <c r="BL38" s="14">
        <f>IFERROR(BL22*(1-BL35/100),"")</f>
        <v/>
      </c>
    </row>
    <row r="39">
      <c r="A39" s="4" t="inlineStr">
        <is>
          <t>Prix client averti (€)</t>
        </is>
      </c>
      <c r="B39" s="13">
        <f>IFERROR(B22*(1-B36/100),"")</f>
        <v/>
      </c>
      <c r="C39" s="13">
        <f>IFERROR(C22*(1-C36/100),"")</f>
        <v/>
      </c>
      <c r="D39" s="13">
        <f>IFERROR(D22*(1-D36/100),"")</f>
        <v/>
      </c>
      <c r="E39" s="13">
        <f>IFERROR(E22*(1-E36/100),"")</f>
        <v/>
      </c>
      <c r="F39" s="13">
        <f>IFERROR(F22*(1-F36/100),"")</f>
        <v/>
      </c>
      <c r="G39" s="14">
        <f>IFERROR(G22*(1-G36/100),"")</f>
        <v/>
      </c>
      <c r="H39" s="14">
        <f>IFERROR(H22*(1-H36/100),"")</f>
        <v/>
      </c>
      <c r="I39" s="14">
        <f>IFERROR(I22*(1-I36/100),"")</f>
        <v/>
      </c>
      <c r="J39" s="14">
        <f>IFERROR(J22*(1-J36/100),"")</f>
        <v/>
      </c>
      <c r="K39" s="14">
        <f>IFERROR(K22*(1-K36/100),"")</f>
        <v/>
      </c>
      <c r="L39" s="14">
        <f>IFERROR(L22*(1-L36/100),"")</f>
        <v/>
      </c>
      <c r="M39" s="14">
        <f>IFERROR(M22*(1-M36/100),"")</f>
        <v/>
      </c>
      <c r="N39" s="14">
        <f>IFERROR(N22*(1-N36/100),"")</f>
        <v/>
      </c>
      <c r="O39" s="14">
        <f>IFERROR(O22*(1-O36/100),"")</f>
        <v/>
      </c>
      <c r="P39" s="14">
        <f>IFERROR(P22*(1-P36/100),"")</f>
        <v/>
      </c>
      <c r="Q39" s="14">
        <f>IFERROR(Q22*(1-Q36/100),"")</f>
        <v/>
      </c>
      <c r="R39" s="14">
        <f>IFERROR(R22*(1-R36/100),"")</f>
        <v/>
      </c>
      <c r="S39" s="14">
        <f>IFERROR(S22*(1-S36/100),"")</f>
        <v/>
      </c>
      <c r="T39" s="14">
        <f>IFERROR(T22*(1-T36/100),"")</f>
        <v/>
      </c>
      <c r="U39" s="14">
        <f>IFERROR(U22*(1-U36/100),"")</f>
        <v/>
      </c>
      <c r="V39" s="14">
        <f>IFERROR(V22*(1-V36/100),"")</f>
        <v/>
      </c>
      <c r="W39" s="14">
        <f>IFERROR(W22*(1-W36/100),"")</f>
        <v/>
      </c>
      <c r="X39" s="14">
        <f>IFERROR(X22*(1-X36/100),"")</f>
        <v/>
      </c>
      <c r="Y39" s="14">
        <f>IFERROR(Y22*(1-Y36/100),"")</f>
        <v/>
      </c>
      <c r="Z39" s="14">
        <f>IFERROR(Z22*(1-Z36/100),"")</f>
        <v/>
      </c>
      <c r="AA39" s="14">
        <f>IFERROR(AA22*(1-AA36/100),"")</f>
        <v/>
      </c>
      <c r="AB39" s="14">
        <f>IFERROR(AB22*(1-AB36/100),"")</f>
        <v/>
      </c>
      <c r="AC39" s="14">
        <f>IFERROR(AC22*(1-AC36/100),"")</f>
        <v/>
      </c>
      <c r="AD39" s="14">
        <f>IFERROR(AD22*(1-AD36/100),"")</f>
        <v/>
      </c>
      <c r="AE39" s="14">
        <f>IFERROR(AE22*(1-AE36/100),"")</f>
        <v/>
      </c>
      <c r="AF39" s="14">
        <f>IFERROR(AF22*(1-AF36/100),"")</f>
        <v/>
      </c>
      <c r="AG39" s="14">
        <f>IFERROR(AG22*(1-AG36/100),"")</f>
        <v/>
      </c>
      <c r="AH39" s="14">
        <f>IFERROR(AH22*(1-AH36/100),"")</f>
        <v/>
      </c>
      <c r="AI39" s="14">
        <f>IFERROR(AI22*(1-AI36/100),"")</f>
        <v/>
      </c>
      <c r="AJ39" s="14">
        <f>IFERROR(AJ22*(1-AJ36/100),"")</f>
        <v/>
      </c>
      <c r="AK39" s="14">
        <f>IFERROR(AK22*(1-AK36/100),"")</f>
        <v/>
      </c>
      <c r="AL39" s="14">
        <f>IFERROR(AL22*(1-AL36/100),"")</f>
        <v/>
      </c>
      <c r="AM39" s="14">
        <f>IFERROR(AM22*(1-AM36/100),"")</f>
        <v/>
      </c>
      <c r="AN39" s="14">
        <f>IFERROR(AN22*(1-AN36/100),"")</f>
        <v/>
      </c>
      <c r="AO39" s="14">
        <f>IFERROR(AO22*(1-AO36/100),"")</f>
        <v/>
      </c>
      <c r="AP39" s="14">
        <f>IFERROR(AP22*(1-AP36/100),"")</f>
        <v/>
      </c>
      <c r="AQ39" s="14">
        <f>IFERROR(AQ22*(1-AQ36/100),"")</f>
        <v/>
      </c>
      <c r="AR39" s="14">
        <f>IFERROR(AR22*(1-AR36/100),"")</f>
        <v/>
      </c>
      <c r="AS39" s="14">
        <f>IFERROR(AS22*(1-AS36/100),"")</f>
        <v/>
      </c>
      <c r="AT39" s="14">
        <f>IFERROR(AT22*(1-AT36/100),"")</f>
        <v/>
      </c>
      <c r="AU39" s="14">
        <f>IFERROR(AU22*(1-AU36/100),"")</f>
        <v/>
      </c>
      <c r="AV39" s="14">
        <f>IFERROR(AV22*(1-AV36/100),"")</f>
        <v/>
      </c>
      <c r="AW39" s="14">
        <f>IFERROR(AW22*(1-AW36/100),"")</f>
        <v/>
      </c>
      <c r="AX39" s="14">
        <f>IFERROR(AX22*(1-AX36/100),"")</f>
        <v/>
      </c>
      <c r="AY39" s="14">
        <f>IFERROR(AY22*(1-AY36/100),"")</f>
        <v/>
      </c>
      <c r="AZ39" s="14">
        <f>IFERROR(AZ22*(1-AZ36/100),"")</f>
        <v/>
      </c>
      <c r="BA39" s="14">
        <f>IFERROR(BA22*(1-BA36/100),"")</f>
        <v/>
      </c>
      <c r="BB39" s="14">
        <f>IFERROR(BB22*(1-BB36/100),"")</f>
        <v/>
      </c>
      <c r="BC39" s="14">
        <f>IFERROR(BC22*(1-BC36/100),"")</f>
        <v/>
      </c>
      <c r="BD39" s="14">
        <f>IFERROR(BD22*(1-BD36/100),"")</f>
        <v/>
      </c>
      <c r="BE39" s="14">
        <f>IFERROR(BE22*(1-BE36/100),"")</f>
        <v/>
      </c>
      <c r="BF39" s="14">
        <f>IFERROR(BF22*(1-BF36/100),"")</f>
        <v/>
      </c>
      <c r="BG39" s="14">
        <f>IFERROR(BG22*(1-BG36/100),"")</f>
        <v/>
      </c>
      <c r="BH39" s="14">
        <f>IFERROR(BH22*(1-BH36/100),"")</f>
        <v/>
      </c>
      <c r="BI39" s="14">
        <f>IFERROR(BI22*(1-BI36/100),"")</f>
        <v/>
      </c>
      <c r="BJ39" s="14">
        <f>IFERROR(BJ22*(1-BJ36/100),"")</f>
        <v/>
      </c>
      <c r="BK39" s="14">
        <f>IFERROR(BK22*(1-BK36/100),"")</f>
        <v/>
      </c>
      <c r="BL39" s="14">
        <f>IFERROR(BL22*(1-BL36/100),"")</f>
        <v/>
      </c>
    </row>
    <row r="40">
      <c r="A40" s="4" t="inlineStr">
        <is>
          <t>Prix plafond (€)</t>
        </is>
      </c>
      <c r="B40" s="13">
        <f>IFERROR(B22*(1-B37/100),"")</f>
        <v/>
      </c>
      <c r="C40" s="13">
        <f>IFERROR(C22*(1-C37/100),"")</f>
        <v/>
      </c>
      <c r="D40" s="13">
        <f>IFERROR(D22*(1-D37/100),"")</f>
        <v/>
      </c>
      <c r="E40" s="13">
        <f>IFERROR(E22*(1-E37/100),"")</f>
        <v/>
      </c>
      <c r="F40" s="13">
        <f>IFERROR(F22*(1-F37/100),"")</f>
        <v/>
      </c>
      <c r="G40" s="14">
        <f>IFERROR(G22*(1-G37/100),"")</f>
        <v/>
      </c>
      <c r="H40" s="14">
        <f>IFERROR(H22*(1-H37/100),"")</f>
        <v/>
      </c>
      <c r="I40" s="14">
        <f>IFERROR(I22*(1-I37/100),"")</f>
        <v/>
      </c>
      <c r="J40" s="14">
        <f>IFERROR(J22*(1-J37/100),"")</f>
        <v/>
      </c>
      <c r="K40" s="14">
        <f>IFERROR(K22*(1-K37/100),"")</f>
        <v/>
      </c>
      <c r="L40" s="14">
        <f>IFERROR(L22*(1-L37/100),"")</f>
        <v/>
      </c>
      <c r="M40" s="14">
        <f>IFERROR(M22*(1-M37/100),"")</f>
        <v/>
      </c>
      <c r="N40" s="14">
        <f>IFERROR(N22*(1-N37/100),"")</f>
        <v/>
      </c>
      <c r="O40" s="14">
        <f>IFERROR(O22*(1-O37/100),"")</f>
        <v/>
      </c>
      <c r="P40" s="14">
        <f>IFERROR(P22*(1-P37/100),"")</f>
        <v/>
      </c>
      <c r="Q40" s="14">
        <f>IFERROR(Q22*(1-Q37/100),"")</f>
        <v/>
      </c>
      <c r="R40" s="14">
        <f>IFERROR(R22*(1-R37/100),"")</f>
        <v/>
      </c>
      <c r="S40" s="14">
        <f>IFERROR(S22*(1-S37/100),"")</f>
        <v/>
      </c>
      <c r="T40" s="14">
        <f>IFERROR(T22*(1-T37/100),"")</f>
        <v/>
      </c>
      <c r="U40" s="14">
        <f>IFERROR(U22*(1-U37/100),"")</f>
        <v/>
      </c>
      <c r="V40" s="14">
        <f>IFERROR(V22*(1-V37/100),"")</f>
        <v/>
      </c>
      <c r="W40" s="14">
        <f>IFERROR(W22*(1-W37/100),"")</f>
        <v/>
      </c>
      <c r="X40" s="14">
        <f>IFERROR(X22*(1-X37/100),"")</f>
        <v/>
      </c>
      <c r="Y40" s="14">
        <f>IFERROR(Y22*(1-Y37/100),"")</f>
        <v/>
      </c>
      <c r="Z40" s="14">
        <f>IFERROR(Z22*(1-Z37/100),"")</f>
        <v/>
      </c>
      <c r="AA40" s="14">
        <f>IFERROR(AA22*(1-AA37/100),"")</f>
        <v/>
      </c>
      <c r="AB40" s="14">
        <f>IFERROR(AB22*(1-AB37/100),"")</f>
        <v/>
      </c>
      <c r="AC40" s="14">
        <f>IFERROR(AC22*(1-AC37/100),"")</f>
        <v/>
      </c>
      <c r="AD40" s="14">
        <f>IFERROR(AD22*(1-AD37/100),"")</f>
        <v/>
      </c>
      <c r="AE40" s="14">
        <f>IFERROR(AE22*(1-AE37/100),"")</f>
        <v/>
      </c>
      <c r="AF40" s="14">
        <f>IFERROR(AF22*(1-AF37/100),"")</f>
        <v/>
      </c>
      <c r="AG40" s="14">
        <f>IFERROR(AG22*(1-AG37/100),"")</f>
        <v/>
      </c>
      <c r="AH40" s="14">
        <f>IFERROR(AH22*(1-AH37/100),"")</f>
        <v/>
      </c>
      <c r="AI40" s="14">
        <f>IFERROR(AI22*(1-AI37/100),"")</f>
        <v/>
      </c>
      <c r="AJ40" s="14">
        <f>IFERROR(AJ22*(1-AJ37/100),"")</f>
        <v/>
      </c>
      <c r="AK40" s="14">
        <f>IFERROR(AK22*(1-AK37/100),"")</f>
        <v/>
      </c>
      <c r="AL40" s="14">
        <f>IFERROR(AL22*(1-AL37/100),"")</f>
        <v/>
      </c>
      <c r="AM40" s="14">
        <f>IFERROR(AM22*(1-AM37/100),"")</f>
        <v/>
      </c>
      <c r="AN40" s="14">
        <f>IFERROR(AN22*(1-AN37/100),"")</f>
        <v/>
      </c>
      <c r="AO40" s="14">
        <f>IFERROR(AO22*(1-AO37/100),"")</f>
        <v/>
      </c>
      <c r="AP40" s="14">
        <f>IFERROR(AP22*(1-AP37/100),"")</f>
        <v/>
      </c>
      <c r="AQ40" s="14">
        <f>IFERROR(AQ22*(1-AQ37/100),"")</f>
        <v/>
      </c>
      <c r="AR40" s="14">
        <f>IFERROR(AR22*(1-AR37/100),"")</f>
        <v/>
      </c>
      <c r="AS40" s="14">
        <f>IFERROR(AS22*(1-AS37/100),"")</f>
        <v/>
      </c>
      <c r="AT40" s="14">
        <f>IFERROR(AT22*(1-AT37/100),"")</f>
        <v/>
      </c>
      <c r="AU40" s="14">
        <f>IFERROR(AU22*(1-AU37/100),"")</f>
        <v/>
      </c>
      <c r="AV40" s="14">
        <f>IFERROR(AV22*(1-AV37/100),"")</f>
        <v/>
      </c>
      <c r="AW40" s="14">
        <f>IFERROR(AW22*(1-AW37/100),"")</f>
        <v/>
      </c>
      <c r="AX40" s="14">
        <f>IFERROR(AX22*(1-AX37/100),"")</f>
        <v/>
      </c>
      <c r="AY40" s="14">
        <f>IFERROR(AY22*(1-AY37/100),"")</f>
        <v/>
      </c>
      <c r="AZ40" s="14">
        <f>IFERROR(AZ22*(1-AZ37/100),"")</f>
        <v/>
      </c>
      <c r="BA40" s="14">
        <f>IFERROR(BA22*(1-BA37/100),"")</f>
        <v/>
      </c>
      <c r="BB40" s="14">
        <f>IFERROR(BB22*(1-BB37/100),"")</f>
        <v/>
      </c>
      <c r="BC40" s="14">
        <f>IFERROR(BC22*(1-BC37/100),"")</f>
        <v/>
      </c>
      <c r="BD40" s="14">
        <f>IFERROR(BD22*(1-BD37/100),"")</f>
        <v/>
      </c>
      <c r="BE40" s="14">
        <f>IFERROR(BE22*(1-BE37/100),"")</f>
        <v/>
      </c>
      <c r="BF40" s="14">
        <f>IFERROR(BF22*(1-BF37/100),"")</f>
        <v/>
      </c>
      <c r="BG40" s="14">
        <f>IFERROR(BG22*(1-BG37/100),"")</f>
        <v/>
      </c>
      <c r="BH40" s="14">
        <f>IFERROR(BH22*(1-BH37/100),"")</f>
        <v/>
      </c>
      <c r="BI40" s="14">
        <f>IFERROR(BI22*(1-BI37/100),"")</f>
        <v/>
      </c>
      <c r="BJ40" s="14">
        <f>IFERROR(BJ22*(1-BJ37/100),"")</f>
        <v/>
      </c>
      <c r="BK40" s="14">
        <f>IFERROR(BK22*(1-BK37/100),"")</f>
        <v/>
      </c>
      <c r="BL40" s="14">
        <f>IFERROR(BL22*(1-BL37/100),"")</f>
        <v/>
      </c>
    </row>
    <row r="41">
      <c r="A41" s="4" t="inlineStr">
        <is>
          <t>Prix client standard / kg (€)</t>
        </is>
      </c>
      <c r="B41" s="13">
        <f>IFERROR(B38/(B5/1000),"")</f>
        <v/>
      </c>
      <c r="C41" s="13">
        <f>IFERROR(C38/(C5/1000),"")</f>
        <v/>
      </c>
      <c r="D41" s="13">
        <f>IFERROR(D38/(D5/1000),"")</f>
        <v/>
      </c>
      <c r="E41" s="13">
        <f>IFERROR(E38/(E5/1000),"")</f>
        <v/>
      </c>
      <c r="F41" s="13">
        <f>IFERROR(F38/(F5/1000),"")</f>
        <v/>
      </c>
      <c r="G41" s="14">
        <f>IFERROR(G38/(G5/1000),"")</f>
        <v/>
      </c>
      <c r="H41" s="14">
        <f>IFERROR(H38/(H5/1000),"")</f>
        <v/>
      </c>
      <c r="I41" s="14">
        <f>IFERROR(I38/(I5/1000),"")</f>
        <v/>
      </c>
      <c r="J41" s="14">
        <f>IFERROR(J38/(J5/1000),"")</f>
        <v/>
      </c>
      <c r="K41" s="14">
        <f>IFERROR(K38/(K5/1000),"")</f>
        <v/>
      </c>
      <c r="L41" s="14">
        <f>IFERROR(L38/(L5/1000),"")</f>
        <v/>
      </c>
      <c r="M41" s="14">
        <f>IFERROR(M38/(M5/1000),"")</f>
        <v/>
      </c>
      <c r="N41" s="14">
        <f>IFERROR(N38/(N5/1000),"")</f>
        <v/>
      </c>
      <c r="O41" s="14">
        <f>IFERROR(O38/(O5/1000),"")</f>
        <v/>
      </c>
      <c r="P41" s="14">
        <f>IFERROR(P38/(P5/1000),"")</f>
        <v/>
      </c>
      <c r="Q41" s="14">
        <f>IFERROR(Q38/(Q5/1000),"")</f>
        <v/>
      </c>
      <c r="R41" s="14">
        <f>IFERROR(R38/(R5/1000),"")</f>
        <v/>
      </c>
      <c r="S41" s="14">
        <f>IFERROR(S38/(S5/1000),"")</f>
        <v/>
      </c>
      <c r="T41" s="14">
        <f>IFERROR(T38/(T5/1000),"")</f>
        <v/>
      </c>
      <c r="U41" s="14">
        <f>IFERROR(U38/(U5/1000),"")</f>
        <v/>
      </c>
      <c r="V41" s="14">
        <f>IFERROR(V38/(V5/1000),"")</f>
        <v/>
      </c>
      <c r="W41" s="14">
        <f>IFERROR(W38/(W5/1000),"")</f>
        <v/>
      </c>
      <c r="X41" s="14">
        <f>IFERROR(X38/(X5/1000),"")</f>
        <v/>
      </c>
      <c r="Y41" s="14">
        <f>IFERROR(Y38/(Y5/1000),"")</f>
        <v/>
      </c>
      <c r="Z41" s="14">
        <f>IFERROR(Z38/(Z5/1000),"")</f>
        <v/>
      </c>
      <c r="AA41" s="14">
        <f>IFERROR(AA38/(AA5/1000),"")</f>
        <v/>
      </c>
      <c r="AB41" s="14">
        <f>IFERROR(AB38/(AB5/1000),"")</f>
        <v/>
      </c>
      <c r="AC41" s="14">
        <f>IFERROR(AC38/(AC5/1000),"")</f>
        <v/>
      </c>
      <c r="AD41" s="14">
        <f>IFERROR(AD38/(AD5/1000),"")</f>
        <v/>
      </c>
      <c r="AE41" s="14">
        <f>IFERROR(AE38/(AE5/1000),"")</f>
        <v/>
      </c>
      <c r="AF41" s="14">
        <f>IFERROR(AF38/(AF5/1000),"")</f>
        <v/>
      </c>
      <c r="AG41" s="14">
        <f>IFERROR(AG38/(AG5/1000),"")</f>
        <v/>
      </c>
      <c r="AH41" s="14">
        <f>IFERROR(AH38/(AH5/1000),"")</f>
        <v/>
      </c>
      <c r="AI41" s="14">
        <f>IFERROR(AI38/(AI5/1000),"")</f>
        <v/>
      </c>
      <c r="AJ41" s="14">
        <f>IFERROR(AJ38/(AJ5/1000),"")</f>
        <v/>
      </c>
      <c r="AK41" s="14">
        <f>IFERROR(AK38/(AK5/1000),"")</f>
        <v/>
      </c>
      <c r="AL41" s="14">
        <f>IFERROR(AL38/(AL5/1000),"")</f>
        <v/>
      </c>
      <c r="AM41" s="14">
        <f>IFERROR(AM38/(AM5/1000),"")</f>
        <v/>
      </c>
      <c r="AN41" s="14">
        <f>IFERROR(AN38/(AN5/1000),"")</f>
        <v/>
      </c>
      <c r="AO41" s="14">
        <f>IFERROR(AO38/(AO5/1000),"")</f>
        <v/>
      </c>
      <c r="AP41" s="14">
        <f>IFERROR(AP38/(AP5/1000),"")</f>
        <v/>
      </c>
      <c r="AQ41" s="14">
        <f>IFERROR(AQ38/(AQ5/1000),"")</f>
        <v/>
      </c>
      <c r="AR41" s="14">
        <f>IFERROR(AR38/(AR5/1000),"")</f>
        <v/>
      </c>
      <c r="AS41" s="14">
        <f>IFERROR(AS38/(AS5/1000),"")</f>
        <v/>
      </c>
      <c r="AT41" s="14">
        <f>IFERROR(AT38/(AT5/1000),"")</f>
        <v/>
      </c>
      <c r="AU41" s="14">
        <f>IFERROR(AU38/(AU5/1000),"")</f>
        <v/>
      </c>
      <c r="AV41" s="14">
        <f>IFERROR(AV38/(AV5/1000),"")</f>
        <v/>
      </c>
      <c r="AW41" s="14">
        <f>IFERROR(AW38/(AW5/1000),"")</f>
        <v/>
      </c>
      <c r="AX41" s="14">
        <f>IFERROR(AX38/(AX5/1000),"")</f>
        <v/>
      </c>
      <c r="AY41" s="14">
        <f>IFERROR(AY38/(AY5/1000),"")</f>
        <v/>
      </c>
      <c r="AZ41" s="14">
        <f>IFERROR(AZ38/(AZ5/1000),"")</f>
        <v/>
      </c>
      <c r="BA41" s="14">
        <f>IFERROR(BA38/(BA5/1000),"")</f>
        <v/>
      </c>
      <c r="BB41" s="14">
        <f>IFERROR(BB38/(BB5/1000),"")</f>
        <v/>
      </c>
      <c r="BC41" s="14">
        <f>IFERROR(BC38/(BC5/1000),"")</f>
        <v/>
      </c>
      <c r="BD41" s="14">
        <f>IFERROR(BD38/(BD5/1000),"")</f>
        <v/>
      </c>
      <c r="BE41" s="14">
        <f>IFERROR(BE38/(BE5/1000),"")</f>
        <v/>
      </c>
      <c r="BF41" s="14">
        <f>IFERROR(BF38/(BF5/1000),"")</f>
        <v/>
      </c>
      <c r="BG41" s="14">
        <f>IFERROR(BG38/(BG5/1000),"")</f>
        <v/>
      </c>
      <c r="BH41" s="14">
        <f>IFERROR(BH38/(BH5/1000),"")</f>
        <v/>
      </c>
      <c r="BI41" s="14">
        <f>IFERROR(BI38/(BI5/1000),"")</f>
        <v/>
      </c>
      <c r="BJ41" s="14">
        <f>IFERROR(BJ38/(BJ5/1000),"")</f>
        <v/>
      </c>
      <c r="BK41" s="14">
        <f>IFERROR(BK38/(BK5/1000),"")</f>
        <v/>
      </c>
      <c r="BL41" s="14">
        <f>IFERROR(BL38/(BL5/1000),"")</f>
        <v/>
      </c>
    </row>
    <row r="42">
      <c r="A42" s="4" t="inlineStr">
        <is>
          <t>Prix client standard / g prot (€)</t>
        </is>
      </c>
      <c r="B42" s="15">
        <f>IFERROR(B38/(B15*B13),"")</f>
        <v/>
      </c>
      <c r="C42" s="15">
        <f>IFERROR(C38/(C15*C13),"")</f>
        <v/>
      </c>
      <c r="D42" s="15">
        <f>IFERROR(D38/(D15*D13),"")</f>
        <v/>
      </c>
      <c r="E42" s="15">
        <f>IFERROR(E38/(E15*E13),"")</f>
        <v/>
      </c>
      <c r="F42" s="15">
        <f>IFERROR(F38/(F15*F13),"")</f>
        <v/>
      </c>
      <c r="G42" s="16">
        <f>IFERROR(G38/(G15*G13),"")</f>
        <v/>
      </c>
      <c r="H42" s="16">
        <f>IFERROR(H38/(H15*H13),"")</f>
        <v/>
      </c>
      <c r="I42" s="16">
        <f>IFERROR(I38/(I15*I13),"")</f>
        <v/>
      </c>
      <c r="J42" s="16">
        <f>IFERROR(J38/(J15*J13),"")</f>
        <v/>
      </c>
      <c r="K42" s="16">
        <f>IFERROR(K38/(K15*K13),"")</f>
        <v/>
      </c>
      <c r="L42" s="16">
        <f>IFERROR(L38/(L15*L13),"")</f>
        <v/>
      </c>
      <c r="M42" s="16">
        <f>IFERROR(M38/(M15*M13),"")</f>
        <v/>
      </c>
      <c r="N42" s="16">
        <f>IFERROR(N38/(N15*N13),"")</f>
        <v/>
      </c>
      <c r="O42" s="16">
        <f>IFERROR(O38/(O15*O13),"")</f>
        <v/>
      </c>
      <c r="P42" s="16">
        <f>IFERROR(P38/(P15*P13),"")</f>
        <v/>
      </c>
      <c r="Q42" s="16">
        <f>IFERROR(Q38/(Q15*Q13),"")</f>
        <v/>
      </c>
      <c r="R42" s="16">
        <f>IFERROR(R38/(R15*R13),"")</f>
        <v/>
      </c>
      <c r="S42" s="16">
        <f>IFERROR(S38/(S15*S13),"")</f>
        <v/>
      </c>
      <c r="T42" s="16">
        <f>IFERROR(T38/(T15*T13),"")</f>
        <v/>
      </c>
      <c r="U42" s="16">
        <f>IFERROR(U38/(U15*U13),"")</f>
        <v/>
      </c>
      <c r="V42" s="16">
        <f>IFERROR(V38/(V15*V13),"")</f>
        <v/>
      </c>
      <c r="W42" s="16">
        <f>IFERROR(W38/(W15*W13),"")</f>
        <v/>
      </c>
      <c r="X42" s="16">
        <f>IFERROR(X38/(X15*X13),"")</f>
        <v/>
      </c>
      <c r="Y42" s="16">
        <f>IFERROR(Y38/(Y15*Y13),"")</f>
        <v/>
      </c>
      <c r="Z42" s="16">
        <f>IFERROR(Z38/(Z15*Z13),"")</f>
        <v/>
      </c>
      <c r="AA42" s="16">
        <f>IFERROR(AA38/(AA15*AA13),"")</f>
        <v/>
      </c>
      <c r="AB42" s="16">
        <f>IFERROR(AB38/(AB15*AB13),"")</f>
        <v/>
      </c>
      <c r="AC42" s="16">
        <f>IFERROR(AC38/(AC15*AC13),"")</f>
        <v/>
      </c>
      <c r="AD42" s="16">
        <f>IFERROR(AD38/(AD15*AD13),"")</f>
        <v/>
      </c>
      <c r="AE42" s="16">
        <f>IFERROR(AE38/(AE15*AE13),"")</f>
        <v/>
      </c>
      <c r="AF42" s="16">
        <f>IFERROR(AF38/(AF15*AF13),"")</f>
        <v/>
      </c>
      <c r="AG42" s="16">
        <f>IFERROR(AG38/(AG15*AG13),"")</f>
        <v/>
      </c>
      <c r="AH42" s="16">
        <f>IFERROR(AH38/(AH15*AH13),"")</f>
        <v/>
      </c>
      <c r="AI42" s="16">
        <f>IFERROR(AI38/(AI15*AI13),"")</f>
        <v/>
      </c>
      <c r="AJ42" s="16">
        <f>IFERROR(AJ38/(AJ15*AJ13),"")</f>
        <v/>
      </c>
      <c r="AK42" s="16">
        <f>IFERROR(AK38/(AK15*AK13),"")</f>
        <v/>
      </c>
      <c r="AL42" s="16">
        <f>IFERROR(AL38/(AL15*AL13),"")</f>
        <v/>
      </c>
      <c r="AM42" s="16">
        <f>IFERROR(AM38/(AM15*AM13),"")</f>
        <v/>
      </c>
      <c r="AN42" s="16">
        <f>IFERROR(AN38/(AN15*AN13),"")</f>
        <v/>
      </c>
      <c r="AO42" s="16">
        <f>IFERROR(AO38/(AO15*AO13),"")</f>
        <v/>
      </c>
      <c r="AP42" s="16">
        <f>IFERROR(AP38/(AP15*AP13),"")</f>
        <v/>
      </c>
      <c r="AQ42" s="16">
        <f>IFERROR(AQ38/(AQ15*AQ13),"")</f>
        <v/>
      </c>
      <c r="AR42" s="16">
        <f>IFERROR(AR38/(AR15*AR13),"")</f>
        <v/>
      </c>
      <c r="AS42" s="16">
        <f>IFERROR(AS38/(AS15*AS13),"")</f>
        <v/>
      </c>
      <c r="AT42" s="16">
        <f>IFERROR(AT38/(AT15*AT13),"")</f>
        <v/>
      </c>
      <c r="AU42" s="16">
        <f>IFERROR(AU38/(AU15*AU13),"")</f>
        <v/>
      </c>
      <c r="AV42" s="16">
        <f>IFERROR(AV38/(AV15*AV13),"")</f>
        <v/>
      </c>
      <c r="AW42" s="16">
        <f>IFERROR(AW38/(AW15*AW13),"")</f>
        <v/>
      </c>
      <c r="AX42" s="16">
        <f>IFERROR(AX38/(AX15*AX13),"")</f>
        <v/>
      </c>
      <c r="AY42" s="16">
        <f>IFERROR(AY38/(AY15*AY13),"")</f>
        <v/>
      </c>
      <c r="AZ42" s="16">
        <f>IFERROR(AZ38/(AZ15*AZ13),"")</f>
        <v/>
      </c>
      <c r="BA42" s="16">
        <f>IFERROR(BA38/(BA15*BA13),"")</f>
        <v/>
      </c>
      <c r="BB42" s="16">
        <f>IFERROR(BB38/(BB15*BB13),"")</f>
        <v/>
      </c>
      <c r="BC42" s="16">
        <f>IFERROR(BC38/(BC15*BC13),"")</f>
        <v/>
      </c>
      <c r="BD42" s="16">
        <f>IFERROR(BD38/(BD15*BD13),"")</f>
        <v/>
      </c>
      <c r="BE42" s="16">
        <f>IFERROR(BE38/(BE15*BE13),"")</f>
        <v/>
      </c>
      <c r="BF42" s="16">
        <f>IFERROR(BF38/(BF15*BF13),"")</f>
        <v/>
      </c>
      <c r="BG42" s="16">
        <f>IFERROR(BG38/(BG15*BG13),"")</f>
        <v/>
      </c>
      <c r="BH42" s="16">
        <f>IFERROR(BH38/(BH15*BH13),"")</f>
        <v/>
      </c>
      <c r="BI42" s="16">
        <f>IFERROR(BI38/(BI15*BI13),"")</f>
        <v/>
      </c>
      <c r="BJ42" s="16">
        <f>IFERROR(BJ38/(BJ15*BJ13),"")</f>
        <v/>
      </c>
      <c r="BK42" s="16">
        <f>IFERROR(BK38/(BK15*BK13),"")</f>
        <v/>
      </c>
      <c r="BL42" s="16">
        <f>IFERROR(BL38/(BL15*BL13),"")</f>
        <v/>
      </c>
    </row>
    <row r="43">
      <c r="A43" s="4" t="inlineStr">
        <is>
          <t>Prix client averti / g prot (€)</t>
        </is>
      </c>
      <c r="B43" s="15">
        <f>IFERROR(B39/(B15*B13),"")</f>
        <v/>
      </c>
      <c r="C43" s="15">
        <f>IFERROR(C39/(C15*C13),"")</f>
        <v/>
      </c>
      <c r="D43" s="15">
        <f>IFERROR(D39/(D15*D13),"")</f>
        <v/>
      </c>
      <c r="E43" s="15">
        <f>IFERROR(E39/(E15*E13),"")</f>
        <v/>
      </c>
      <c r="F43" s="15">
        <f>IFERROR(F39/(F15*F13),"")</f>
        <v/>
      </c>
      <c r="G43" s="16">
        <f>IFERROR(G39/(G15*G13),"")</f>
        <v/>
      </c>
      <c r="H43" s="16">
        <f>IFERROR(H39/(H15*H13),"")</f>
        <v/>
      </c>
      <c r="I43" s="16">
        <f>IFERROR(I39/(I15*I13),"")</f>
        <v/>
      </c>
      <c r="J43" s="16">
        <f>IFERROR(J39/(J15*J13),"")</f>
        <v/>
      </c>
      <c r="K43" s="16">
        <f>IFERROR(K39/(K15*K13),"")</f>
        <v/>
      </c>
      <c r="L43" s="16">
        <f>IFERROR(L39/(L15*L13),"")</f>
        <v/>
      </c>
      <c r="M43" s="16">
        <f>IFERROR(M39/(M15*M13),"")</f>
        <v/>
      </c>
      <c r="N43" s="16">
        <f>IFERROR(N39/(N15*N13),"")</f>
        <v/>
      </c>
      <c r="O43" s="16">
        <f>IFERROR(O39/(O15*O13),"")</f>
        <v/>
      </c>
      <c r="P43" s="16">
        <f>IFERROR(P39/(P15*P13),"")</f>
        <v/>
      </c>
      <c r="Q43" s="16">
        <f>IFERROR(Q39/(Q15*Q13),"")</f>
        <v/>
      </c>
      <c r="R43" s="16">
        <f>IFERROR(R39/(R15*R13),"")</f>
        <v/>
      </c>
      <c r="S43" s="16">
        <f>IFERROR(S39/(S15*S13),"")</f>
        <v/>
      </c>
      <c r="T43" s="16">
        <f>IFERROR(T39/(T15*T13),"")</f>
        <v/>
      </c>
      <c r="U43" s="16">
        <f>IFERROR(U39/(U15*U13),"")</f>
        <v/>
      </c>
      <c r="V43" s="16">
        <f>IFERROR(V39/(V15*V13),"")</f>
        <v/>
      </c>
      <c r="W43" s="16">
        <f>IFERROR(W39/(W15*W13),"")</f>
        <v/>
      </c>
      <c r="X43" s="16">
        <f>IFERROR(X39/(X15*X13),"")</f>
        <v/>
      </c>
      <c r="Y43" s="16">
        <f>IFERROR(Y39/(Y15*Y13),"")</f>
        <v/>
      </c>
      <c r="Z43" s="16">
        <f>IFERROR(Z39/(Z15*Z13),"")</f>
        <v/>
      </c>
      <c r="AA43" s="16">
        <f>IFERROR(AA39/(AA15*AA13),"")</f>
        <v/>
      </c>
      <c r="AB43" s="16">
        <f>IFERROR(AB39/(AB15*AB13),"")</f>
        <v/>
      </c>
      <c r="AC43" s="16">
        <f>IFERROR(AC39/(AC15*AC13),"")</f>
        <v/>
      </c>
      <c r="AD43" s="16">
        <f>IFERROR(AD39/(AD15*AD13),"")</f>
        <v/>
      </c>
      <c r="AE43" s="16">
        <f>IFERROR(AE39/(AE15*AE13),"")</f>
        <v/>
      </c>
      <c r="AF43" s="16">
        <f>IFERROR(AF39/(AF15*AF13),"")</f>
        <v/>
      </c>
      <c r="AG43" s="16">
        <f>IFERROR(AG39/(AG15*AG13),"")</f>
        <v/>
      </c>
      <c r="AH43" s="16">
        <f>IFERROR(AH39/(AH15*AH13),"")</f>
        <v/>
      </c>
      <c r="AI43" s="16">
        <f>IFERROR(AI39/(AI15*AI13),"")</f>
        <v/>
      </c>
      <c r="AJ43" s="16">
        <f>IFERROR(AJ39/(AJ15*AJ13),"")</f>
        <v/>
      </c>
      <c r="AK43" s="16">
        <f>IFERROR(AK39/(AK15*AK13),"")</f>
        <v/>
      </c>
      <c r="AL43" s="16">
        <f>IFERROR(AL39/(AL15*AL13),"")</f>
        <v/>
      </c>
      <c r="AM43" s="16">
        <f>IFERROR(AM39/(AM15*AM13),"")</f>
        <v/>
      </c>
      <c r="AN43" s="16">
        <f>IFERROR(AN39/(AN15*AN13),"")</f>
        <v/>
      </c>
      <c r="AO43" s="16">
        <f>IFERROR(AO39/(AO15*AO13),"")</f>
        <v/>
      </c>
      <c r="AP43" s="16">
        <f>IFERROR(AP39/(AP15*AP13),"")</f>
        <v/>
      </c>
      <c r="AQ43" s="16">
        <f>IFERROR(AQ39/(AQ15*AQ13),"")</f>
        <v/>
      </c>
      <c r="AR43" s="16">
        <f>IFERROR(AR39/(AR15*AR13),"")</f>
        <v/>
      </c>
      <c r="AS43" s="16">
        <f>IFERROR(AS39/(AS15*AS13),"")</f>
        <v/>
      </c>
      <c r="AT43" s="16">
        <f>IFERROR(AT39/(AT15*AT13),"")</f>
        <v/>
      </c>
      <c r="AU43" s="16">
        <f>IFERROR(AU39/(AU15*AU13),"")</f>
        <v/>
      </c>
      <c r="AV43" s="16">
        <f>IFERROR(AV39/(AV15*AV13),"")</f>
        <v/>
      </c>
      <c r="AW43" s="16">
        <f>IFERROR(AW39/(AW15*AW13),"")</f>
        <v/>
      </c>
      <c r="AX43" s="16">
        <f>IFERROR(AX39/(AX15*AX13),"")</f>
        <v/>
      </c>
      <c r="AY43" s="16">
        <f>IFERROR(AY39/(AY15*AY13),"")</f>
        <v/>
      </c>
      <c r="AZ43" s="16">
        <f>IFERROR(AZ39/(AZ15*AZ13),"")</f>
        <v/>
      </c>
      <c r="BA43" s="16">
        <f>IFERROR(BA39/(BA15*BA13),"")</f>
        <v/>
      </c>
      <c r="BB43" s="16">
        <f>IFERROR(BB39/(BB15*BB13),"")</f>
        <v/>
      </c>
      <c r="BC43" s="16">
        <f>IFERROR(BC39/(BC15*BC13),"")</f>
        <v/>
      </c>
      <c r="BD43" s="16">
        <f>IFERROR(BD39/(BD15*BD13),"")</f>
        <v/>
      </c>
      <c r="BE43" s="16">
        <f>IFERROR(BE39/(BE15*BE13),"")</f>
        <v/>
      </c>
      <c r="BF43" s="16">
        <f>IFERROR(BF39/(BF15*BF13),"")</f>
        <v/>
      </c>
      <c r="BG43" s="16">
        <f>IFERROR(BG39/(BG15*BG13),"")</f>
        <v/>
      </c>
      <c r="BH43" s="16">
        <f>IFERROR(BH39/(BH15*BH13),"")</f>
        <v/>
      </c>
      <c r="BI43" s="16">
        <f>IFERROR(BI39/(BI15*BI13),"")</f>
        <v/>
      </c>
      <c r="BJ43" s="16">
        <f>IFERROR(BJ39/(BJ15*BJ13),"")</f>
        <v/>
      </c>
      <c r="BK43" s="16">
        <f>IFERROR(BK39/(BK15*BK13),"")</f>
        <v/>
      </c>
      <c r="BL43" s="16">
        <f>IFERROR(BL39/(BL15*BL13),"")</f>
        <v/>
      </c>
    </row>
    <row r="44">
      <c r="A44" s="7" t="inlineStr">
        <is>
          <t>DISTRIBUTION &amp; SOURCE</t>
        </is>
      </c>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row>
    <row r="45">
      <c r="A45" s="4" t="inlineStr">
        <is>
          <t>Canaux de vente</t>
        </is>
      </c>
      <c r="B45" s="9" t="inlineStr">
        <is>
          <t>site_propre</t>
        </is>
      </c>
      <c r="C45" s="9" t="inlineStr">
        <is>
          <t>site_propre</t>
        </is>
      </c>
      <c r="D45" s="9" t="inlineStr">
        <is>
          <t>site_propre</t>
        </is>
      </c>
      <c r="E45" s="9" t="inlineStr">
        <is>
          <t>Site propre</t>
        </is>
      </c>
      <c r="F45" s="9" t="inlineStr">
        <is>
          <t>Site propre</t>
        </is>
      </c>
      <c r="G45" s="10" t="inlineStr">
        <is>
          <t>Site propre, Amazon</t>
        </is>
      </c>
      <c r="H45" s="10" t="inlineStr">
        <is>
          <t>Site propre, Amazon</t>
        </is>
      </c>
      <c r="I45" s="10" t="inlineStr">
        <is>
          <t>Site propre, Amazon</t>
        </is>
      </c>
      <c r="J45" s="10" t="inlineStr">
        <is>
          <t>Site propre, Amazon, revendeurs</t>
        </is>
      </c>
      <c r="K45" s="10" t="inlineStr">
        <is>
          <t>Site propre, Amazon, revendeurs</t>
        </is>
      </c>
      <c r="L45" s="10" t="inlineStr">
        <is>
          <t>Site propre, Amazon, revendeurs</t>
        </is>
      </c>
      <c r="M45" s="10" t="inlineStr">
        <is>
          <t>Site propre, Amazon, revendeurs</t>
        </is>
      </c>
      <c r="N45" s="10" t="inlineStr">
        <is>
          <t>Site propre, Amazon, revendeurs</t>
        </is>
      </c>
      <c r="O45" s="10" t="inlineStr">
        <is>
          <t>Site propre, Amazon, revendeurs</t>
        </is>
      </c>
      <c r="P45" s="10" t="inlineStr">
        <is>
          <t>Site propre, Amazon, revendeurs</t>
        </is>
      </c>
      <c r="Q45" s="10" t="inlineStr">
        <is>
          <t>Site propre, Amazon, revendeurs</t>
        </is>
      </c>
      <c r="R45" s="10" t="inlineStr">
        <is>
          <t>Site propre, Pharmacies, Amazon</t>
        </is>
      </c>
      <c r="S45" s="10" t="inlineStr">
        <is>
          <t>Site propre, Pharmacies, Amazon</t>
        </is>
      </c>
      <c r="T45" s="10" t="inlineStr">
        <is>
          <t>Site propre</t>
        </is>
      </c>
      <c r="U45" s="10" t="inlineStr">
        <is>
          <t>Site propre, Amazon</t>
        </is>
      </c>
      <c r="V45" s="10" t="inlineStr">
        <is>
          <t>Site propre, Amazon</t>
        </is>
      </c>
      <c r="W45" s="10" t="inlineStr">
        <is>
          <t>Site propre, Amazon</t>
        </is>
      </c>
      <c r="X45" s="10" t="inlineStr">
        <is>
          <t>Site propre, Amazon</t>
        </is>
      </c>
      <c r="Y45" s="10" t="inlineStr">
        <is>
          <t>Site propre, Amazon</t>
        </is>
      </c>
      <c r="Z45" s="10" t="inlineStr">
        <is>
          <t>Site propre, Amazon</t>
        </is>
      </c>
      <c r="AA45" s="10" t="inlineStr">
        <is>
          <t>Site propre, Amazon</t>
        </is>
      </c>
      <c r="AB45" s="10" t="inlineStr">
        <is>
          <t>Site propre, Amazon</t>
        </is>
      </c>
      <c r="AC45" s="10" t="inlineStr">
        <is>
          <t>Site propre, Amazon, Pharmacies</t>
        </is>
      </c>
      <c r="AD45" s="10" t="inlineStr">
        <is>
          <t>Site propre, Amazon, Pharmacies</t>
        </is>
      </c>
      <c r="AE45" s="10" t="inlineStr">
        <is>
          <t>Site propre, Amazon, Pharmacies</t>
        </is>
      </c>
      <c r="AF45" s="10" t="inlineStr">
        <is>
          <t>Site propre, Amazon, Pharmacies</t>
        </is>
      </c>
      <c r="AG45" s="10" t="inlineStr">
        <is>
          <t>Site propre, Amazon, Pharmacies</t>
        </is>
      </c>
      <c r="AH45" s="10" t="inlineStr">
        <is>
          <t>Site propre, Amazon, Pharmacies</t>
        </is>
      </c>
      <c r="AI45" s="10" t="inlineStr">
        <is>
          <t>Magasins Decathlon, Site</t>
        </is>
      </c>
      <c r="AJ45" s="10" t="inlineStr">
        <is>
          <t>Magasins Decathlon, Site</t>
        </is>
      </c>
      <c r="AK45" s="10" t="inlineStr">
        <is>
          <t>Site propre, Amazon</t>
        </is>
      </c>
      <c r="AL45" s="10" t="inlineStr">
        <is>
          <t>Site propre</t>
        </is>
      </c>
      <c r="AM45" s="10" t="inlineStr">
        <is>
          <t>Site propre, Amazon</t>
        </is>
      </c>
      <c r="AN45" s="10" t="inlineStr">
        <is>
          <t>Site propre</t>
        </is>
      </c>
      <c r="AO45" s="10" t="inlineStr">
        <is>
          <t>Site propre</t>
        </is>
      </c>
      <c r="AP45" s="10" t="inlineStr">
        <is>
          <t>Site propre</t>
        </is>
      </c>
      <c r="AQ45" s="10" t="inlineStr">
        <is>
          <t>Site propre, Amazon</t>
        </is>
      </c>
      <c r="AR45" s="10" t="inlineStr">
        <is>
          <t>Site propre, Amazon</t>
        </is>
      </c>
      <c r="AS45" s="10" t="inlineStr">
        <is>
          <t>Site propre, Amazon, revendeurs</t>
        </is>
      </c>
      <c r="AT45" s="10" t="inlineStr">
        <is>
          <t>Site propre</t>
        </is>
      </c>
      <c r="AU45" s="10" t="inlineStr">
        <is>
          <t>Site propre</t>
        </is>
      </c>
      <c r="AV45" s="10" t="inlineStr">
        <is>
          <t>Site propre, Amazon</t>
        </is>
      </c>
      <c r="AW45" s="10" t="inlineStr">
        <is>
          <t>Site propre, Amazon</t>
        </is>
      </c>
      <c r="AX45" s="10" t="inlineStr">
        <is>
          <t>Site propre, Amazon</t>
        </is>
      </c>
      <c r="AY45" s="10" t="inlineStr">
        <is>
          <t>Site propre, Amazon</t>
        </is>
      </c>
      <c r="AZ45" s="10" t="inlineStr">
        <is>
          <t>Site propre, Amazon</t>
        </is>
      </c>
      <c r="BA45" s="10" t="inlineStr">
        <is>
          <t>Site propre, Amazon</t>
        </is>
      </c>
      <c r="BB45" s="10" t="inlineStr">
        <is>
          <t>Site propre, Amazon, Pharmacies, GMS</t>
        </is>
      </c>
      <c r="BC45" s="10" t="inlineStr">
        <is>
          <t>Site propre, Amazon</t>
        </is>
      </c>
      <c r="BD45" s="10" t="inlineStr">
        <is>
          <t>Site propre, Amazon</t>
        </is>
      </c>
      <c r="BE45" s="10" t="inlineStr">
        <is>
          <t>Site propre, Amazon</t>
        </is>
      </c>
      <c r="BF45" s="10" t="inlineStr">
        <is>
          <t>Site propre, Amazon</t>
        </is>
      </c>
      <c r="BG45" s="10" t="inlineStr">
        <is>
          <t>Site propre, Amazon</t>
        </is>
      </c>
      <c r="BH45" s="10" t="inlineStr">
        <is>
          <t>Site propre, Amazon</t>
        </is>
      </c>
      <c r="BI45" s="10" t="inlineStr">
        <is>
          <t>Site propre, Amazon</t>
        </is>
      </c>
      <c r="BJ45" s="10" t="inlineStr">
        <is>
          <t>Site propre, Amazon</t>
        </is>
      </c>
      <c r="BK45" s="10" t="inlineStr">
        <is>
          <t>Site propre, Amazon</t>
        </is>
      </c>
      <c r="BL45" s="10" t="inlineStr">
        <is>
          <t>Site propre, Amazon</t>
        </is>
      </c>
    </row>
    <row r="46">
      <c r="A46" s="4" t="inlineStr">
        <is>
          <t>Source URL (principale)</t>
        </is>
      </c>
      <c r="B46" s="9" t="inlineStr">
        <is>
          <t>https://impulse-nutrition.fr/products/whey-isolate-saveur-chocolat</t>
        </is>
      </c>
      <c r="C46" s="9" t="inlineStr">
        <is>
          <t>https://impulse-nutrition.fr/products/whey-isolate-saveur-vanille</t>
        </is>
      </c>
      <c r="D46" s="9" t="inlineStr">
        <is>
          <t>https://impulse-nutrition.fr/products/whey-isolate-nature</t>
        </is>
      </c>
      <c r="E46" s="9" t="inlineStr">
        <is>
          <t>https://impulse-nutrition.fr/products/whey-recovery-saveur-chocolat</t>
        </is>
      </c>
      <c r="F46" s="9" t="inlineStr">
        <is>
          <t>https://impulse-nutrition.fr/products/whey-recovery-saveur-vanille</t>
        </is>
      </c>
      <c r="G46" s="10" t="inlineStr">
        <is>
          <t>https://www.nutripure.fr/produits/whey-isolat-native-chocolat</t>
        </is>
      </c>
      <c r="H46" s="10" t="inlineStr">
        <is>
          <t>https://www.nutripure.fr/fr/musculation/147-1115-whey-chocolat-isolate.html#/332-poids_poudre-seau_2kg</t>
        </is>
      </c>
      <c r="I46" s="10" t="inlineStr">
        <is>
          <t>https://www.nutripure.fr/fr/musculation/147-674-whey-chocolat-isolate.html#/47-poids_poudre-seau_4kg</t>
        </is>
      </c>
      <c r="J46" s="10" t="inlineStr">
        <is>
          <t>https://www.nutrimuscle.com/products/whey-native-isolate</t>
        </is>
      </c>
      <c r="K46" s="10" t="inlineStr">
        <is>
          <t>https://www.nutrimuscle.com/products/whey-isolat-native</t>
        </is>
      </c>
      <c r="L46" s="10" t="inlineStr">
        <is>
          <t>https://www.nutrimuscle.com/products/whey-native-isolate</t>
        </is>
      </c>
      <c r="M46" s="10" t="inlineStr">
        <is>
          <t>https://www.nutrimuscle.com/products/whey-native-isolate</t>
        </is>
      </c>
      <c r="N46" s="10" t="inlineStr">
        <is>
          <t>https://www.nutrimuscle.com/products/whey-native</t>
        </is>
      </c>
      <c r="O46" s="10" t="inlineStr">
        <is>
          <t>https://www.nutrimuscle.com/products/whey-concentree-native</t>
        </is>
      </c>
      <c r="P46" s="10" t="inlineStr">
        <is>
          <t>https://www.nutrimuscle.com/products/whey-native</t>
        </is>
      </c>
      <c r="Q46" s="10" t="inlineStr">
        <is>
          <t>https://www.nutrimuscle.com/products/whey-native</t>
        </is>
      </c>
      <c r="R46" s="10" t="inlineStr">
        <is>
          <t>https://nutriandco.com/fr/produits/whey-isolate-native</t>
        </is>
      </c>
      <c r="S46" s="10" t="inlineStr">
        <is>
          <t>https://nutriandco.com/fr/produits/whey-native</t>
        </is>
      </c>
      <c r="T46" s="10" t="inlineStr">
        <is>
          <t>https://www.aqeelab-nutrition.fr/products/whey-native-fabriquee-en-france-lait-francais</t>
        </is>
      </c>
      <c r="U46" s="10" t="inlineStr">
        <is>
          <t>https://www.ericfavre.com/fr_fr/proteines/iso-zero-100-whey-proteine-cookies-cream-500g-p-194-o-1216.htm</t>
        </is>
      </c>
      <c r="V46" s="10" t="inlineStr">
        <is>
          <t>https://www.ericfavre.com/fr_fr/proteines/iso-zero-100-whey-proteine-choco-intense-1-5kg-p-194-o-1200.htm</t>
        </is>
      </c>
      <c r="W46" s="10" t="inlineStr">
        <is>
          <t>https://www.ericfavre.com/fr_fr/proteines/iso-zero-100-whey-proteine-chocotella-2kg-p-194-o-155.htm</t>
        </is>
      </c>
      <c r="X46" s="10" t="inlineStr">
        <is>
          <t>https://www.ericfavre.com/fr_fr/proteines/whey-optimax-protein-biscuit-cookie-500g-p-622-o-1369.htm</t>
        </is>
      </c>
      <c r="Y46" s="10" t="inlineStr">
        <is>
          <t>https://www.ericfavre.com/fr_fr/proteines/whey-optimax-protein-chocolat-1-5kg-p-622-o-1370.htm</t>
        </is>
      </c>
      <c r="Z46" s="10" t="inlineStr">
        <is>
          <t>https://www.ericfavre.com/fr_fr/proteines/whey-zero-chocolat-2kg-p-517-o-1093.htm</t>
        </is>
      </c>
      <c r="AA46" s="10" t="inlineStr">
        <is>
          <t>https://www.ericfavre.com/fr_fr/proteines/iso-fusion-biscuit-cookie-750g-p-907-o-1924.htm</t>
        </is>
      </c>
      <c r="AB46" s="10" t="inlineStr">
        <is>
          <t>https://www.ericfavre.com/fr_fr/proteines/iso-fusion-biscuit-cookie-2kg-p-907-o-1925.htm</t>
        </is>
      </c>
      <c r="AC46" s="10" t="inlineStr">
        <is>
          <t>https://www.eafit.com/eafit-pure-isolate.html</t>
        </is>
      </c>
      <c r="AD46" s="10" t="inlineStr">
        <is>
          <t>https://www.eafit.com/eafit-pure-isolate-premium.html</t>
        </is>
      </c>
      <c r="AE46" s="10" t="inlineStr">
        <is>
          <t>https://www.eafit.com/eafit-pure-whey.html</t>
        </is>
      </c>
      <c r="AF46" s="10" t="inlineStr">
        <is>
          <t>https://www.eafit.com/eafit-megawhey.html</t>
        </is>
      </c>
      <c r="AG46" s="10" t="inlineStr">
        <is>
          <t>https://www.eafit.com/eafit-pure-whey.html</t>
        </is>
      </c>
      <c r="AH46" s="10" t="inlineStr">
        <is>
          <t>https://www.eafit.com/eafit-pure-whey.html</t>
        </is>
      </c>
      <c r="AI46" s="10" t="inlineStr">
        <is>
          <t>https://www.decathlon.fr/p/mp/corength/whey-isolate-chocolat/_/R-p-336438</t>
        </is>
      </c>
      <c r="AJ46" s="10" t="inlineStr">
        <is>
          <t>https://www.decathlon.fr/p/mp/corength/whey-chocolat-corength/_/R-p-336437</t>
        </is>
      </c>
      <c r="AK46" s="10" t="inlineStr">
        <is>
          <t>https://www.bulk.com/fr/pure-whey-isolate-90.html</t>
        </is>
      </c>
      <c r="AL46" s="10" t="inlineStr">
        <is>
          <t>https://www.bulk.com/fr/pure-whey-isolate-90.html</t>
        </is>
      </c>
      <c r="AM46" s="10" t="inlineStr">
        <is>
          <t>https://www.bulk.com/fr/pure-whey-protein-1.html</t>
        </is>
      </c>
      <c r="AN46" s="10" t="inlineStr">
        <is>
          <t>https://www.bulk.com/fr/pure-whey-protein-1.html</t>
        </is>
      </c>
      <c r="AO46" s="10" t="inlineStr">
        <is>
          <t>https://www.bulk.com/fr/pure-whey-protein-1.html</t>
        </is>
      </c>
      <c r="AP46" s="10" t="inlineStr">
        <is>
          <t>https://www.bulk.com/fr/clear-whey-isolate.html</t>
        </is>
      </c>
      <c r="AQ46" s="10" t="inlineStr">
        <is>
          <t>https://fr.myprotein.com/p/nutrition-sportive/impact-whey-isolate/10852482/</t>
        </is>
      </c>
      <c r="AR46" s="10" t="inlineStr">
        <is>
          <t>https://fr.myprotein.com/p/nutrition-sportive/impact-whey-isolate-framboise-poche-2.5-kg/10530927/</t>
        </is>
      </c>
      <c r="AS46" s="10" t="inlineStr">
        <is>
          <t>https://fr.myprotein.com/p/nutrition-sportive/myprotein-impact-whey-protein-chocolate-1kg/11068071/</t>
        </is>
      </c>
      <c r="AT46" s="10" t="inlineStr">
        <is>
          <t>https://fr.myprotein.com/p/nutrition-sportive/myprotein-impact-whey-protein-chocolate-nut-2.5kg/10530969/</t>
        </is>
      </c>
      <c r="AU46" s="10" t="inlineStr">
        <is>
          <t>https://fr.myprotein.com/p/nutrition-sportive/impact-whey-protein/10530943/</t>
        </is>
      </c>
      <c r="AV46" s="10" t="inlineStr">
        <is>
          <t>https://fr.myprotein.com/p/nutrition-sportive/clear-whey-isolate/12081395/</t>
        </is>
      </c>
      <c r="AW46" s="10" t="inlineStr">
        <is>
          <t>https://www.prozis.com/fr/fr/prozis/zero-diet-whey-750-g</t>
        </is>
      </c>
      <c r="AX46" s="10" t="inlineStr">
        <is>
          <t>https://www.prozis.com/fr/fr/prozis/100-real-whey-isolate-1000-g</t>
        </is>
      </c>
      <c r="AY46" s="10" t="inlineStr">
        <is>
          <t>https://www.prozis.com/fr/fr/prozis/100-real-whey-protein-907g</t>
        </is>
      </c>
      <c r="AZ46" s="10" t="inlineStr">
        <is>
          <t>https://www.prozis.com/fr/fr/prozis/100-real-whey-protein-907g</t>
        </is>
      </c>
      <c r="BA46" s="10" t="inlineStr">
        <is>
          <t>https://www.prozis.com/fr/fr/prozis/100-whey-hydro-isolate-2000g</t>
        </is>
      </c>
      <c r="BB46" s="10" t="inlineStr">
        <is>
          <t>https://www.amazon.fr/foodspring-croissance-musculaire-solubilit%C3%A9-ultra-filtr%C3%A9e/dp/B0CTR3FZ7W</t>
        </is>
      </c>
      <c r="BC46" s="10" t="inlineStr">
        <is>
          <t>https://www.esn.com/products/esn-iso-whey-protein</t>
        </is>
      </c>
      <c r="BD46" s="10" t="inlineStr">
        <is>
          <t>https://www.esn.com/products/esn-designer-whey-protein</t>
        </is>
      </c>
      <c r="BE46" s="10" t="inlineStr">
        <is>
          <t>https://www.esn.com/products/basic-whey</t>
        </is>
      </c>
      <c r="BF46" s="10" t="inlineStr">
        <is>
          <t>https://www.esn.com/products/esn-designer-whey-protein</t>
        </is>
      </c>
      <c r="BG46" s="10" t="inlineStr">
        <is>
          <t>https://www.esn.com/products/basic-whey</t>
        </is>
      </c>
      <c r="BH46" s="10" t="inlineStr">
        <is>
          <t>https://shop.biotechusa.fr/products/iso-whey-zero-908-g</t>
        </is>
      </c>
      <c r="BI46" s="10" t="inlineStr">
        <is>
          <t>https://shop.biotechusa.fr/products/iso-whey-zero-poudre-de-proteine-isolat-1816-g</t>
        </is>
      </c>
      <c r="BJ46" s="10" t="inlineStr">
        <is>
          <t>https://shop.biotechusa.fr/products/100-pure-whey-400-g</t>
        </is>
      </c>
      <c r="BK46" s="10" t="inlineStr">
        <is>
          <t>https://shop.biotechusa.fr/products/100-pure-whey-renouvele-1000-g</t>
        </is>
      </c>
      <c r="BL46" s="10" t="inlineStr">
        <is>
          <t>https://shop.biotechusa.fr/products/100-pure-whey-2000-g</t>
        </is>
      </c>
    </row>
    <row r="47">
      <c r="A47" s="4" t="inlineStr">
        <is>
          <t>Date snapshot</t>
        </is>
      </c>
      <c r="B47" s="9" t="inlineStr">
        <is>
          <t>2026-04-14</t>
        </is>
      </c>
      <c r="C47" s="9" t="inlineStr">
        <is>
          <t>2026-04-14</t>
        </is>
      </c>
      <c r="D47" s="9" t="inlineStr">
        <is>
          <t>2026-04-14</t>
        </is>
      </c>
      <c r="E47" s="9" t="inlineStr">
        <is>
          <t>2026-04-14</t>
        </is>
      </c>
      <c r="F47" s="9" t="inlineStr">
        <is>
          <t>2026-04-14</t>
        </is>
      </c>
      <c r="G47" s="10" t="inlineStr">
        <is>
          <t>2026-04-14</t>
        </is>
      </c>
      <c r="H47" s="10" t="inlineStr">
        <is>
          <t>2026-04-14</t>
        </is>
      </c>
      <c r="I47" s="10" t="inlineStr">
        <is>
          <t>2026-04-14</t>
        </is>
      </c>
      <c r="J47" s="10" t="inlineStr">
        <is>
          <t>2026-04-14</t>
        </is>
      </c>
      <c r="K47" s="10" t="inlineStr">
        <is>
          <t>2026-04-14</t>
        </is>
      </c>
      <c r="L47" s="10" t="inlineStr">
        <is>
          <t>2026-04-14</t>
        </is>
      </c>
      <c r="M47" s="10" t="inlineStr">
        <is>
          <t>2026-04-14</t>
        </is>
      </c>
      <c r="N47" s="10" t="inlineStr">
        <is>
          <t>2026-04-14</t>
        </is>
      </c>
      <c r="O47" s="10" t="inlineStr">
        <is>
          <t>2026-04-14</t>
        </is>
      </c>
      <c r="P47" s="10" t="inlineStr">
        <is>
          <t>2026-04-14</t>
        </is>
      </c>
      <c r="Q47" s="10" t="inlineStr">
        <is>
          <t>2026-04-14</t>
        </is>
      </c>
      <c r="R47" s="10" t="inlineStr">
        <is>
          <t>2026-04-14</t>
        </is>
      </c>
      <c r="S47" s="10" t="inlineStr">
        <is>
          <t>2026-04-14</t>
        </is>
      </c>
      <c r="T47" s="10" t="inlineStr">
        <is>
          <t>2026-04-14</t>
        </is>
      </c>
      <c r="U47" s="10" t="inlineStr">
        <is>
          <t>2026-04-14</t>
        </is>
      </c>
      <c r="V47" s="10" t="inlineStr">
        <is>
          <t>2026-04-14</t>
        </is>
      </c>
      <c r="W47" s="10" t="inlineStr">
        <is>
          <t>2026-04-14</t>
        </is>
      </c>
      <c r="X47" s="10" t="inlineStr">
        <is>
          <t>2026-04-14</t>
        </is>
      </c>
      <c r="Y47" s="10" t="inlineStr">
        <is>
          <t>2026-04-14</t>
        </is>
      </c>
      <c r="Z47" s="10" t="inlineStr">
        <is>
          <t>2026-04-14</t>
        </is>
      </c>
      <c r="AA47" s="10" t="inlineStr">
        <is>
          <t>2026-04-14</t>
        </is>
      </c>
      <c r="AB47" s="10" t="inlineStr">
        <is>
          <t>2026-04-14</t>
        </is>
      </c>
      <c r="AC47" s="10" t="inlineStr">
        <is>
          <t>2026-04-14</t>
        </is>
      </c>
      <c r="AD47" s="10" t="inlineStr">
        <is>
          <t>2026-04-14</t>
        </is>
      </c>
      <c r="AE47" s="10" t="inlineStr">
        <is>
          <t>2026-04-14</t>
        </is>
      </c>
      <c r="AF47" s="10" t="inlineStr">
        <is>
          <t>2026-04-14</t>
        </is>
      </c>
      <c r="AG47" s="10" t="inlineStr">
        <is>
          <t>2026-04-14</t>
        </is>
      </c>
      <c r="AH47" s="10" t="inlineStr">
        <is>
          <t>2026-04-14</t>
        </is>
      </c>
      <c r="AI47" s="10" t="inlineStr">
        <is>
          <t>2026-04-14</t>
        </is>
      </c>
      <c r="AJ47" s="10" t="inlineStr">
        <is>
          <t>2026-04-14</t>
        </is>
      </c>
      <c r="AK47" s="10" t="inlineStr">
        <is>
          <t>2026-04-14</t>
        </is>
      </c>
      <c r="AL47" s="10" t="inlineStr">
        <is>
          <t>2026-04-14</t>
        </is>
      </c>
      <c r="AM47" s="10" t="inlineStr">
        <is>
          <t>2026-04-14</t>
        </is>
      </c>
      <c r="AN47" s="10" t="inlineStr">
        <is>
          <t>2026-04-14</t>
        </is>
      </c>
      <c r="AO47" s="10" t="inlineStr">
        <is>
          <t>2026-04-14</t>
        </is>
      </c>
      <c r="AP47" s="10" t="inlineStr">
        <is>
          <t>2026-04-14</t>
        </is>
      </c>
      <c r="AQ47" s="10" t="inlineStr">
        <is>
          <t>2026-04-14</t>
        </is>
      </c>
      <c r="AR47" s="10" t="inlineStr">
        <is>
          <t>2026-04-14</t>
        </is>
      </c>
      <c r="AS47" s="10" t="inlineStr">
        <is>
          <t>2026-04-14</t>
        </is>
      </c>
      <c r="AT47" s="10" t="inlineStr">
        <is>
          <t>2026-04-14</t>
        </is>
      </c>
      <c r="AU47" s="10" t="inlineStr">
        <is>
          <t>2026-04-14</t>
        </is>
      </c>
      <c r="AV47" s="10" t="inlineStr">
        <is>
          <t>2026-04-14</t>
        </is>
      </c>
      <c r="AW47" s="10" t="inlineStr">
        <is>
          <t>2026-04-14</t>
        </is>
      </c>
      <c r="AX47" s="10" t="inlineStr">
        <is>
          <t>2026-04-14</t>
        </is>
      </c>
      <c r="AY47" s="10" t="inlineStr">
        <is>
          <t>2026-04-14</t>
        </is>
      </c>
      <c r="AZ47" s="10" t="inlineStr">
        <is>
          <t>2026-04-14</t>
        </is>
      </c>
      <c r="BA47" s="10" t="inlineStr">
        <is>
          <t>2026-04-14</t>
        </is>
      </c>
      <c r="BB47" s="10" t="inlineStr">
        <is>
          <t>2026-04-14</t>
        </is>
      </c>
      <c r="BC47" s="10" t="inlineStr">
        <is>
          <t>2026-04-14</t>
        </is>
      </c>
      <c r="BD47" s="10" t="inlineStr">
        <is>
          <t>2026-04-14</t>
        </is>
      </c>
      <c r="BE47" s="10" t="inlineStr">
        <is>
          <t>2026-04-14</t>
        </is>
      </c>
      <c r="BF47" s="10" t="inlineStr">
        <is>
          <t>2026-04-14</t>
        </is>
      </c>
      <c r="BG47" s="10" t="inlineStr">
        <is>
          <t>2026-04-14</t>
        </is>
      </c>
      <c r="BH47" s="10" t="inlineStr">
        <is>
          <t>2026-04-14</t>
        </is>
      </c>
      <c r="BI47" s="10" t="inlineStr">
        <is>
          <t>2026-04-14</t>
        </is>
      </c>
      <c r="BJ47" s="10" t="inlineStr">
        <is>
          <t>2026-04-14</t>
        </is>
      </c>
      <c r="BK47" s="10" t="inlineStr">
        <is>
          <t>2026-04-14</t>
        </is>
      </c>
      <c r="BL47" s="10" t="inlineStr">
        <is>
          <t>2026-04-14</t>
        </is>
      </c>
    </row>
    <row r="48">
      <c r="A48" s="4" t="inlineStr">
        <is>
          <t>Note gap catalogue/marché</t>
        </is>
      </c>
      <c r="B48" s="9" t="n"/>
      <c r="C48" s="9" t="n"/>
      <c r="D48" s="9" t="n"/>
      <c r="E48" s="9" t="inlineStr">
        <is>
          <t>Blend recovery (concentrat whey + créatine Creapure 3g + collagène Peptan 5g + magnésium). Pas comparable 1-pour-1 aux whey pures — 60% protéines car le reste = additifs de récupération.</t>
        </is>
      </c>
      <c r="F48" s="9" t="inlineStr">
        <is>
          <t>Blend recovery (concentrat whey + créatine Creapure 3g + collagène Peptan 5g + magnésium). Pas comparable 1-pour-1 aux whey pures — 60% protéines car le reste = additifs de récupération.</t>
        </is>
      </c>
      <c r="G48" s="10" t="inlineStr">
        <is>
          <t>Prix marché = null (Nutripure vend uniquement sur site propre, pas de cross-retailers significatifs). Ancien 46€ sourcé via robshop.fr était un revendeur cher, pas un vrai marché médian.</t>
        </is>
      </c>
      <c r="H48" s="10" t="inlineStr">
        <is>
          <t>Confirmé via Playwright click sur variant radio Seau 2KG (id=332). Page nutripure.fr. Agent v2 avait mal lu '90€' (probablement le 'à partir de' affiché sur la page parent).</t>
        </is>
      </c>
      <c r="I48" s="10" t="inlineStr">
        <is>
          <t>Confirmé via Playwright click sur variant radio Seau 4KG (id=47). Prix réel 179,90€ (pas 159,90€ extrapolé).</t>
        </is>
      </c>
      <c r="J48" s="10" t="n"/>
      <c r="K48" s="10" t="inlineStr">
        <is>
          <t>v1 avait 39.95€ (+45% correction)</t>
        </is>
      </c>
      <c r="L48" s="10" t="n"/>
      <c r="M48" s="10" t="n"/>
      <c r="N48" s="10" t="n"/>
      <c r="O48" s="10" t="inlineStr">
        <is>
          <t>v1 avait 25.95€ (+46% correction)</t>
        </is>
      </c>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0" t="inlineStr">
        <is>
          <t>Catalogue fictif majeur: 69.99€ barré vs 44.99€ réel (-36%)</t>
        </is>
      </c>
      <c r="AL48" s="10" t="inlineStr">
        <is>
          <t>Catalogue fictif fort: 159.99€ vs 99.99€ réel (-37%)</t>
        </is>
      </c>
      <c r="AM48" s="10" t="inlineStr">
        <is>
          <t>Catalogue partiellement fictif: barré 37.99€ vs current 27.99€ vs marché 23.99€</t>
        </is>
      </c>
      <c r="AN48" s="10" t="inlineStr">
        <is>
          <t>Catalogue fictif: 84.99€ barré vs 64.99€ réel (-23%)</t>
        </is>
      </c>
      <c r="AO48" s="10" t="inlineStr">
        <is>
          <t>Catalogue fictif: 159.99€ vs 129.99€ payé (-19%)</t>
        </is>
      </c>
      <c r="AP48" s="10" t="inlineStr">
        <is>
          <t>Catalogue 31.49€ barré vs 25.99€ payé (-17%). Marché 22.25€</t>
        </is>
      </c>
      <c r="AQ48" s="10" t="inlineStr">
        <is>
          <t>Isolate EXCLU de la promo -30% MyProtein. Prix current = prix nominal (pas de discount automatique). Revert de l'ancienne estimation ×0.7.</t>
        </is>
      </c>
      <c r="AR48" s="10" t="inlineStr">
        <is>
          <t>Confirmé via variant Framboise 2.5kg (10530927) : 124.99€ affiché sans strikethrough. Isolate exclu de la promo -30%.</t>
        </is>
      </c>
      <c r="AS48" s="10" t="inlineStr">
        <is>
          <t>Prix actuel = 17.99€ sur fr.myprotein.com/.../11068071/ (scraped Playwright 2026-04-14). Promo site -30% + extra app ramène à 17.99 vs 41.99 nominal (soit -57%). Pattern MyProtein Whey Protein uniquement.</t>
        </is>
      </c>
      <c r="AT48" s="10" t="inlineStr">
        <is>
          <t>Prix scrapé via variant Chocolate Nut 2.5kg (10530969) : 84.99€ barré / 40.99€ actuel. Promo -52%. Playwright 2026-04-14.</t>
        </is>
      </c>
      <c r="AU48" s="10" t="inlineStr">
        <is>
          <t>5kg n'existe qu'en 'Sans arôme' (chocolat inexistant). Current price = extrapolation du ratio 2.5kg (40.99/84.99=0.482) : 188.99 × 0.482 ≈ 91.10€.</t>
        </is>
      </c>
      <c r="AV48" s="10" t="inlineStr">
        <is>
          <t>Clear Whey exclu de la promo -30% (mention explicite). Format 875g max (pas de 1kg). Confirmé via scraping 12081395.</t>
        </is>
      </c>
      <c r="AW48" s="10" t="n"/>
      <c r="AX48" s="10" t="n"/>
      <c r="AY48" s="10" t="n"/>
      <c r="AZ48" s="10" t="n"/>
      <c r="BA48" s="10" t="n"/>
      <c r="BB48" s="10" t="inlineStr">
        <is>
          <t>Site foodspring.fr = DNS dead (brand pas disponible en FR direct). Prix récupéré via Amazon FR fiche vanille 750g : 29,96€ current (39,90€ RRP affiché). Agent v2 avait 32,95€ via revendeur paraplus.fr, désormais obsolète.</t>
        </is>
      </c>
      <c r="BC48" s="10" t="n"/>
      <c r="BD48" s="10" t="inlineStr">
        <is>
          <t>Prix réel confirmé 41.99€ (vs 42.90€ ancien). Drift mineur sans promo.</t>
        </is>
      </c>
      <c r="BE48" s="10" t="n"/>
      <c r="BF48" s="10" t="n"/>
      <c r="BG48" s="10" t="n"/>
      <c r="BH48" s="10" t="n"/>
      <c r="BI48" s="10" t="n"/>
      <c r="BJ48" s="10" t="inlineStr">
        <is>
          <t>8.2€/100g vs 5.5€/100g sur format 1kg (petit format plus cher)</t>
        </is>
      </c>
      <c r="BK48" s="10" t="inlineStr">
        <is>
          <t>GROS ÉCART : site marque 54.90€ vs idealo 27.02€ (-51%). Cross-retailers beaucoup moins cher.</t>
        </is>
      </c>
      <c r="BL48" s="10" t="inlineStr">
        <is>
          <t>Cohérent avec 1kg : site marque surcoté vs cross-retailers (~-40-50%)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2" customWidth="1" min="3" max="3"/>
    <col width="13" customWidth="1" min="4" max="4"/>
    <col width="10" customWidth="1" min="5" max="5"/>
    <col width="12" customWidth="1" min="6" max="6"/>
    <col width="13" customWidth="1" min="7" max="7"/>
    <col width="13" customWidth="1" min="8" max="8"/>
    <col width="13" customWidth="1" min="9" max="9"/>
    <col width="13" customWidth="1" min="10" max="10"/>
    <col width="14" customWidth="1" min="11" max="11"/>
    <col width="14" customWidth="1" min="12" max="12"/>
    <col width="13" customWidth="1" min="13" max="13"/>
    <col width="16" customWidth="1" min="14" max="14"/>
    <col width="13" customWidth="1" min="15" max="15"/>
    <col width="8" customWidth="1" min="16" max="16"/>
    <col width="12" customWidth="1" min="17" max="17"/>
    <col width="12" customWidth="1" min="18" max="18"/>
    <col width="14" customWidth="1" min="19" max="19"/>
    <col width="16" customWidth="1" min="20" max="20"/>
    <col width="14" customWidth="1" min="21" max="21"/>
    <col width="16" customWidth="1" min="22" max="22"/>
    <col width="50" customWidth="1" min="23" max="23"/>
    <col width="30" customWidth="1" min="24" max="24"/>
  </cols>
  <sheetData>
    <row r="1">
      <c r="A1" s="19" t="inlineStr">
        <is>
          <t>Marque</t>
        </is>
      </c>
      <c r="B1" s="19" t="inlineStr">
        <is>
          <t>Produit</t>
        </is>
      </c>
      <c r="C1" s="19" t="inlineStr">
        <is>
          <t>Type</t>
        </is>
      </c>
      <c r="D1" s="19" t="inlineStr">
        <is>
          <t>Natif/Fromagère</t>
        </is>
      </c>
      <c r="E1" s="19" t="inlineStr">
        <is>
          <t>Format (g)</t>
        </is>
      </c>
      <c r="F1" s="19" t="inlineStr">
        <is>
          <t>Nb portions</t>
        </is>
      </c>
      <c r="G1" s="19" t="inlineStr">
        <is>
          <t>Prot/portion (g)</t>
        </is>
      </c>
      <c r="H1" s="19" t="inlineStr">
        <is>
          <t>Prix nominal (€)</t>
        </is>
      </c>
      <c r="I1" s="19" t="inlineStr">
        <is>
          <t>Prix actuel (€)</t>
        </is>
      </c>
      <c r="J1" s="19" t="inlineStr">
        <is>
          <t>Prix marché (€)</t>
        </is>
      </c>
      <c r="K1" s="19" t="inlineStr">
        <is>
          <t>Gap nominal→actuel (%)</t>
        </is>
      </c>
      <c r="L1" s="19" t="inlineStr">
        <is>
          <t>Gap actuel→marché (%)</t>
        </is>
      </c>
      <c r="M1" s="19" t="inlineStr">
        <is>
          <t>Prix actuel /kg</t>
        </is>
      </c>
      <c r="N1" s="19" t="inlineStr">
        <is>
          <t>Prix actuel /g prot</t>
        </is>
      </c>
      <c r="O1" s="19" t="inlineStr">
        <is>
          <t>Prix abo (€)</t>
        </is>
      </c>
      <c r="P1" s="19" t="inlineStr">
        <is>
          <t>% abo</t>
        </is>
      </c>
      <c r="Q1" s="19" t="inlineStr">
        <is>
          <t>Remise client standard (%)</t>
        </is>
      </c>
      <c r="R1" s="19" t="inlineStr">
        <is>
          <t>Remise client averti (%)</t>
        </is>
      </c>
      <c r="S1" s="19" t="inlineStr">
        <is>
          <t>Prix client standard (€)</t>
        </is>
      </c>
      <c r="T1" s="19" t="inlineStr">
        <is>
          <t>Prix client standard /g prot</t>
        </is>
      </c>
      <c r="U1" s="19" t="inlineStr">
        <is>
          <t>Prix client averti (€)</t>
        </is>
      </c>
      <c r="V1" s="19" t="inlineStr">
        <is>
          <t>Prix client averti /g prot</t>
        </is>
      </c>
      <c r="W1" s="19" t="inlineStr">
        <is>
          <t>Source URL</t>
        </is>
      </c>
      <c r="X1" s="19" t="inlineStr">
        <is>
          <t>Gap note</t>
        </is>
      </c>
    </row>
    <row r="2">
      <c r="A2" s="20">
        <f>'Benchmark détaillé'!B1</f>
        <v/>
      </c>
      <c r="B2" s="20" t="inlineStr">
        <is>
          <t>Whey Isolate</t>
        </is>
      </c>
      <c r="C2" s="20">
        <f>'Benchmark détaillé'!B4</f>
        <v/>
      </c>
      <c r="D2" s="20">
        <f>'Benchmark détaillé'!B10</f>
        <v/>
      </c>
      <c r="E2" s="20">
        <f>'Benchmark détaillé'!B5</f>
        <v/>
      </c>
      <c r="F2" s="20">
        <f>'Benchmark détaillé'!B15</f>
        <v/>
      </c>
      <c r="G2" s="20">
        <f>'Benchmark détaillé'!B13</f>
        <v/>
      </c>
      <c r="H2" s="20">
        <f>'Benchmark détaillé'!B21</f>
        <v/>
      </c>
      <c r="I2" s="20">
        <f>'Benchmark détaillé'!B22</f>
        <v/>
      </c>
      <c r="J2" s="20">
        <f>'Benchmark détaillé'!B23</f>
        <v/>
      </c>
      <c r="K2" s="11">
        <f>IFERROR((H2-I2)/H2*100,"")</f>
        <v/>
      </c>
      <c r="L2" s="11">
        <f>IFERROR((I2-J2)/I2*100,"")</f>
        <v/>
      </c>
      <c r="M2" s="11">
        <f>IFERROR(I2/(E2/1000),"")</f>
        <v/>
      </c>
      <c r="N2" s="11">
        <f>IFERROR(I2/(F2*G2),"")</f>
        <v/>
      </c>
      <c r="O2" s="20">
        <f>'Benchmark détaillé'!B31</f>
        <v/>
      </c>
      <c r="P2" s="20">
        <f>'Benchmark détaillé'!B32</f>
        <v/>
      </c>
      <c r="Q2" s="11">
        <f>IFERROR(VLOOKUP(A2,'Discounts par marque'!$A:$G,4,FALSE),0)</f>
        <v/>
      </c>
      <c r="R2" s="11">
        <f>IFERROR(VLOOKUP(A2,'Discounts par marque'!$A:$G,5,FALSE),0)</f>
        <v/>
      </c>
      <c r="S2" s="11">
        <f>IFERROR(I2*(1-Q2/100),"")</f>
        <v/>
      </c>
      <c r="T2" s="11">
        <f>IFERROR(S2/(F2*G2),"")</f>
        <v/>
      </c>
      <c r="U2" s="11">
        <f>IFERROR(I2*(1-R2/100),"")</f>
        <v/>
      </c>
      <c r="V2" s="11">
        <f>IFERROR(U2/(F2*G2),"")</f>
        <v/>
      </c>
      <c r="W2" s="20" t="inlineStr">
        <is>
          <t>https://impulse-nutrition.fr/products/whey-isolate-saveur-chocolat</t>
        </is>
      </c>
      <c r="X2" s="20" t="n"/>
    </row>
    <row r="3">
      <c r="A3" s="20">
        <f>'Benchmark détaillé'!C1</f>
        <v/>
      </c>
      <c r="B3" s="20" t="inlineStr">
        <is>
          <t>Whey Isolate</t>
        </is>
      </c>
      <c r="C3" s="20">
        <f>'Benchmark détaillé'!C4</f>
        <v/>
      </c>
      <c r="D3" s="20">
        <f>'Benchmark détaillé'!C10</f>
        <v/>
      </c>
      <c r="E3" s="20">
        <f>'Benchmark détaillé'!C5</f>
        <v/>
      </c>
      <c r="F3" s="20">
        <f>'Benchmark détaillé'!C15</f>
        <v/>
      </c>
      <c r="G3" s="20">
        <f>'Benchmark détaillé'!C13</f>
        <v/>
      </c>
      <c r="H3" s="20">
        <f>'Benchmark détaillé'!C21</f>
        <v/>
      </c>
      <c r="I3" s="20">
        <f>'Benchmark détaillé'!C22</f>
        <v/>
      </c>
      <c r="J3" s="20">
        <f>'Benchmark détaillé'!C23</f>
        <v/>
      </c>
      <c r="K3" s="11">
        <f>IFERROR((H3-I3)/H3*100,"")</f>
        <v/>
      </c>
      <c r="L3" s="11">
        <f>IFERROR((I3-J3)/I3*100,"")</f>
        <v/>
      </c>
      <c r="M3" s="11">
        <f>IFERROR(I3/(E3/1000),"")</f>
        <v/>
      </c>
      <c r="N3" s="11">
        <f>IFERROR(I3/(F3*G3),"")</f>
        <v/>
      </c>
      <c r="O3" s="20">
        <f>'Benchmark détaillé'!C31</f>
        <v/>
      </c>
      <c r="P3" s="20">
        <f>'Benchmark détaillé'!C32</f>
        <v/>
      </c>
      <c r="Q3" s="11">
        <f>IFERROR(VLOOKUP(A3,'Discounts par marque'!$A:$G,4,FALSE),0)</f>
        <v/>
      </c>
      <c r="R3" s="11">
        <f>IFERROR(VLOOKUP(A3,'Discounts par marque'!$A:$G,5,FALSE),0)</f>
        <v/>
      </c>
      <c r="S3" s="11">
        <f>IFERROR(I3*(1-Q3/100),"")</f>
        <v/>
      </c>
      <c r="T3" s="11">
        <f>IFERROR(S3/(F3*G3),"")</f>
        <v/>
      </c>
      <c r="U3" s="11">
        <f>IFERROR(I3*(1-R3/100),"")</f>
        <v/>
      </c>
      <c r="V3" s="11">
        <f>IFERROR(U3/(F3*G3),"")</f>
        <v/>
      </c>
      <c r="W3" s="20" t="inlineStr">
        <is>
          <t>https://impulse-nutrition.fr/products/whey-isolate-saveur-vanille</t>
        </is>
      </c>
      <c r="X3" s="20" t="n"/>
    </row>
    <row r="4">
      <c r="A4" s="20">
        <f>'Benchmark détaillé'!D1</f>
        <v/>
      </c>
      <c r="B4" s="20" t="inlineStr">
        <is>
          <t>Whey Isolate</t>
        </is>
      </c>
      <c r="C4" s="20">
        <f>'Benchmark détaillé'!D4</f>
        <v/>
      </c>
      <c r="D4" s="20">
        <f>'Benchmark détaillé'!D10</f>
        <v/>
      </c>
      <c r="E4" s="20">
        <f>'Benchmark détaillé'!D5</f>
        <v/>
      </c>
      <c r="F4" s="20">
        <f>'Benchmark détaillé'!D15</f>
        <v/>
      </c>
      <c r="G4" s="20">
        <f>'Benchmark détaillé'!D13</f>
        <v/>
      </c>
      <c r="H4" s="20">
        <f>'Benchmark détaillé'!D21</f>
        <v/>
      </c>
      <c r="I4" s="20">
        <f>'Benchmark détaillé'!D22</f>
        <v/>
      </c>
      <c r="J4" s="20">
        <f>'Benchmark détaillé'!D23</f>
        <v/>
      </c>
      <c r="K4" s="11">
        <f>IFERROR((H4-I4)/H4*100,"")</f>
        <v/>
      </c>
      <c r="L4" s="11">
        <f>IFERROR((I4-J4)/I4*100,"")</f>
        <v/>
      </c>
      <c r="M4" s="11">
        <f>IFERROR(I4/(E4/1000),"")</f>
        <v/>
      </c>
      <c r="N4" s="11">
        <f>IFERROR(I4/(F4*G4),"")</f>
        <v/>
      </c>
      <c r="O4" s="20">
        <f>'Benchmark détaillé'!D31</f>
        <v/>
      </c>
      <c r="P4" s="20">
        <f>'Benchmark détaillé'!D32</f>
        <v/>
      </c>
      <c r="Q4" s="11">
        <f>IFERROR(VLOOKUP(A4,'Discounts par marque'!$A:$G,4,FALSE),0)</f>
        <v/>
      </c>
      <c r="R4" s="11">
        <f>IFERROR(VLOOKUP(A4,'Discounts par marque'!$A:$G,5,FALSE),0)</f>
        <v/>
      </c>
      <c r="S4" s="11">
        <f>IFERROR(I4*(1-Q4/100),"")</f>
        <v/>
      </c>
      <c r="T4" s="11">
        <f>IFERROR(S4/(F4*G4),"")</f>
        <v/>
      </c>
      <c r="U4" s="11">
        <f>IFERROR(I4*(1-R4/100),"")</f>
        <v/>
      </c>
      <c r="V4" s="11">
        <f>IFERROR(U4/(F4*G4),"")</f>
        <v/>
      </c>
      <c r="W4" s="20" t="inlineStr">
        <is>
          <t>https://impulse-nutrition.fr/products/whey-isolate-nature</t>
        </is>
      </c>
      <c r="X4" s="20" t="n"/>
    </row>
    <row r="5">
      <c r="A5" s="20">
        <f>'Benchmark détaillé'!E1</f>
        <v/>
      </c>
      <c r="B5" s="20" t="inlineStr">
        <is>
          <t>Whey Recovery</t>
        </is>
      </c>
      <c r="C5" s="20">
        <f>'Benchmark détaillé'!E4</f>
        <v/>
      </c>
      <c r="D5" s="20">
        <f>'Benchmark détaillé'!E10</f>
        <v/>
      </c>
      <c r="E5" s="20">
        <f>'Benchmark détaillé'!E5</f>
        <v/>
      </c>
      <c r="F5" s="20">
        <f>'Benchmark détaillé'!E15</f>
        <v/>
      </c>
      <c r="G5" s="20">
        <f>'Benchmark détaillé'!E13</f>
        <v/>
      </c>
      <c r="H5" s="20">
        <f>'Benchmark détaillé'!E21</f>
        <v/>
      </c>
      <c r="I5" s="20">
        <f>'Benchmark détaillé'!E22</f>
        <v/>
      </c>
      <c r="J5" s="20">
        <f>'Benchmark détaillé'!E23</f>
        <v/>
      </c>
      <c r="K5" s="11">
        <f>IFERROR((H5-I5)/H5*100,"")</f>
        <v/>
      </c>
      <c r="L5" s="11">
        <f>IFERROR((I5-J5)/I5*100,"")</f>
        <v/>
      </c>
      <c r="M5" s="11">
        <f>IFERROR(I5/(E5/1000),"")</f>
        <v/>
      </c>
      <c r="N5" s="11">
        <f>IFERROR(I5/(F5*G5),"")</f>
        <v/>
      </c>
      <c r="O5" s="20">
        <f>'Benchmark détaillé'!E31</f>
        <v/>
      </c>
      <c r="P5" s="20">
        <f>'Benchmark détaillé'!E32</f>
        <v/>
      </c>
      <c r="Q5" s="11">
        <f>IFERROR(VLOOKUP(A5,'Discounts par marque'!$A:$G,4,FALSE),0)</f>
        <v/>
      </c>
      <c r="R5" s="11">
        <f>IFERROR(VLOOKUP(A5,'Discounts par marque'!$A:$G,5,FALSE),0)</f>
        <v/>
      </c>
      <c r="S5" s="11">
        <f>IFERROR(I5*(1-Q5/100),"")</f>
        <v/>
      </c>
      <c r="T5" s="11">
        <f>IFERROR(S5/(F5*G5),"")</f>
        <v/>
      </c>
      <c r="U5" s="11">
        <f>IFERROR(I5*(1-R5/100),"")</f>
        <v/>
      </c>
      <c r="V5" s="11">
        <f>IFERROR(U5/(F5*G5),"")</f>
        <v/>
      </c>
      <c r="W5" s="20" t="inlineStr">
        <is>
          <t>https://impulse-nutrition.fr/products/whey-recovery-saveur-chocolat</t>
        </is>
      </c>
      <c r="X5" s="20" t="inlineStr">
        <is>
          <t>Blend recovery (concentrat whey + créatine Creapure 3g + collagène Peptan 5g + magnésium). Pas comparable 1-pour-1 aux whey pures — 60% protéines car le reste = additifs de récupération.</t>
        </is>
      </c>
    </row>
    <row r="6">
      <c r="A6" s="20">
        <f>'Benchmark détaillé'!F1</f>
        <v/>
      </c>
      <c r="B6" s="20" t="inlineStr">
        <is>
          <t>Whey Recovery</t>
        </is>
      </c>
      <c r="C6" s="20">
        <f>'Benchmark détaillé'!F4</f>
        <v/>
      </c>
      <c r="D6" s="20">
        <f>'Benchmark détaillé'!F10</f>
        <v/>
      </c>
      <c r="E6" s="20">
        <f>'Benchmark détaillé'!F5</f>
        <v/>
      </c>
      <c r="F6" s="20">
        <f>'Benchmark détaillé'!F15</f>
        <v/>
      </c>
      <c r="G6" s="20">
        <f>'Benchmark détaillé'!F13</f>
        <v/>
      </c>
      <c r="H6" s="20">
        <f>'Benchmark détaillé'!F21</f>
        <v/>
      </c>
      <c r="I6" s="20">
        <f>'Benchmark détaillé'!F22</f>
        <v/>
      </c>
      <c r="J6" s="20">
        <f>'Benchmark détaillé'!F23</f>
        <v/>
      </c>
      <c r="K6" s="11">
        <f>IFERROR((H6-I6)/H6*100,"")</f>
        <v/>
      </c>
      <c r="L6" s="11">
        <f>IFERROR((I6-J6)/I6*100,"")</f>
        <v/>
      </c>
      <c r="M6" s="11">
        <f>IFERROR(I6/(E6/1000),"")</f>
        <v/>
      </c>
      <c r="N6" s="11">
        <f>IFERROR(I6/(F6*G6),"")</f>
        <v/>
      </c>
      <c r="O6" s="20">
        <f>'Benchmark détaillé'!F31</f>
        <v/>
      </c>
      <c r="P6" s="20">
        <f>'Benchmark détaillé'!F32</f>
        <v/>
      </c>
      <c r="Q6" s="11">
        <f>IFERROR(VLOOKUP(A6,'Discounts par marque'!$A:$G,4,FALSE),0)</f>
        <v/>
      </c>
      <c r="R6" s="11">
        <f>IFERROR(VLOOKUP(A6,'Discounts par marque'!$A:$G,5,FALSE),0)</f>
        <v/>
      </c>
      <c r="S6" s="11">
        <f>IFERROR(I6*(1-Q6/100),"")</f>
        <v/>
      </c>
      <c r="T6" s="11">
        <f>IFERROR(S6/(F6*G6),"")</f>
        <v/>
      </c>
      <c r="U6" s="11">
        <f>IFERROR(I6*(1-R6/100),"")</f>
        <v/>
      </c>
      <c r="V6" s="11">
        <f>IFERROR(U6/(F6*G6),"")</f>
        <v/>
      </c>
      <c r="W6" s="20" t="inlineStr">
        <is>
          <t>https://impulse-nutrition.fr/products/whey-recovery-saveur-vanille</t>
        </is>
      </c>
      <c r="X6" s="20" t="inlineStr">
        <is>
          <t>Blend recovery (concentrat whey + créatine Creapure 3g + collagène Peptan 5g + magnésium). Pas comparable 1-pour-1 aux whey pures — 60% protéines car le reste = additifs de récupération.</t>
        </is>
      </c>
    </row>
    <row r="7">
      <c r="A7">
        <f>'Benchmark détaillé'!G1</f>
        <v/>
      </c>
      <c r="B7" t="inlineStr">
        <is>
          <t>Whey Isolat Native 750g</t>
        </is>
      </c>
      <c r="C7">
        <f>'Benchmark détaillé'!G4</f>
        <v/>
      </c>
      <c r="D7">
        <f>'Benchmark détaillé'!G10</f>
        <v/>
      </c>
      <c r="E7">
        <f>'Benchmark détaillé'!G5</f>
        <v/>
      </c>
      <c r="F7">
        <f>'Benchmark détaillé'!G15</f>
        <v/>
      </c>
      <c r="G7">
        <f>'Benchmark détaillé'!G13</f>
        <v/>
      </c>
      <c r="H7">
        <f>'Benchmark détaillé'!G21</f>
        <v/>
      </c>
      <c r="I7">
        <f>'Benchmark détaillé'!G22</f>
        <v/>
      </c>
      <c r="J7">
        <f>'Benchmark détaillé'!G23</f>
        <v/>
      </c>
      <c r="K7" s="12">
        <f>IFERROR((H7-I7)/H7*100,"")</f>
        <v/>
      </c>
      <c r="L7" s="12">
        <f>IFERROR((I7-J7)/I7*100,"")</f>
        <v/>
      </c>
      <c r="M7" s="12">
        <f>IFERROR(I7/(E7/1000),"")</f>
        <v/>
      </c>
      <c r="N7" s="12">
        <f>IFERROR(I7/(F7*G7),"")</f>
        <v/>
      </c>
      <c r="O7">
        <f>'Benchmark détaillé'!G31</f>
        <v/>
      </c>
      <c r="P7">
        <f>'Benchmark détaillé'!G32</f>
        <v/>
      </c>
      <c r="Q7" s="12">
        <f>IFERROR(VLOOKUP(A7,'Discounts par marque'!$A:$G,4,FALSE),0)</f>
        <v/>
      </c>
      <c r="R7" s="12">
        <f>IFERROR(VLOOKUP(A7,'Discounts par marque'!$A:$G,5,FALSE),0)</f>
        <v/>
      </c>
      <c r="S7" s="12">
        <f>IFERROR(I7*(1-Q7/100),"")</f>
        <v/>
      </c>
      <c r="T7" s="12">
        <f>IFERROR(S7/(F7*G7),"")</f>
        <v/>
      </c>
      <c r="U7" s="12">
        <f>IFERROR(I7*(1-R7/100),"")</f>
        <v/>
      </c>
      <c r="V7" s="12">
        <f>IFERROR(U7/(F7*G7),"")</f>
        <v/>
      </c>
      <c r="W7" t="inlineStr">
        <is>
          <t>https://www.nutripure.fr/produits/whey-isolat-native-chocolat</t>
        </is>
      </c>
      <c r="X7" t="inlineStr">
        <is>
          <t>Prix marché = null (Nutripure vend uniquement sur site propre, pas de cross-retailers significatifs). Ancien 46€ sourcé via robshop.fr était un revendeur cher, pas un vrai marché médian.</t>
        </is>
      </c>
    </row>
    <row r="8">
      <c r="A8">
        <f>'Benchmark détaillé'!H1</f>
        <v/>
      </c>
      <c r="B8" t="inlineStr">
        <is>
          <t>Whey Isolat Native 2kg</t>
        </is>
      </c>
      <c r="C8">
        <f>'Benchmark détaillé'!H4</f>
        <v/>
      </c>
      <c r="D8">
        <f>'Benchmark détaillé'!H10</f>
        <v/>
      </c>
      <c r="E8">
        <f>'Benchmark détaillé'!H5</f>
        <v/>
      </c>
      <c r="F8">
        <f>'Benchmark détaillé'!H15</f>
        <v/>
      </c>
      <c r="G8">
        <f>'Benchmark détaillé'!H13</f>
        <v/>
      </c>
      <c r="H8">
        <f>'Benchmark détaillé'!H21</f>
        <v/>
      </c>
      <c r="I8">
        <f>'Benchmark détaillé'!H22</f>
        <v/>
      </c>
      <c r="J8">
        <f>'Benchmark détaillé'!H23</f>
        <v/>
      </c>
      <c r="K8" s="12">
        <f>IFERROR((H8-I8)/H8*100,"")</f>
        <v/>
      </c>
      <c r="L8" s="12">
        <f>IFERROR((I8-J8)/I8*100,"")</f>
        <v/>
      </c>
      <c r="M8" s="12">
        <f>IFERROR(I8/(E8/1000),"")</f>
        <v/>
      </c>
      <c r="N8" s="12">
        <f>IFERROR(I8/(F8*G8),"")</f>
        <v/>
      </c>
      <c r="O8">
        <f>'Benchmark détaillé'!H31</f>
        <v/>
      </c>
      <c r="P8">
        <f>'Benchmark détaillé'!H32</f>
        <v/>
      </c>
      <c r="Q8" s="12">
        <f>IFERROR(VLOOKUP(A8,'Discounts par marque'!$A:$G,4,FALSE),0)</f>
        <v/>
      </c>
      <c r="R8" s="12">
        <f>IFERROR(VLOOKUP(A8,'Discounts par marque'!$A:$G,5,FALSE),0)</f>
        <v/>
      </c>
      <c r="S8" s="12">
        <f>IFERROR(I8*(1-Q8/100),"")</f>
        <v/>
      </c>
      <c r="T8" s="12">
        <f>IFERROR(S8/(F8*G8),"")</f>
        <v/>
      </c>
      <c r="U8" s="12">
        <f>IFERROR(I8*(1-R8/100),"")</f>
        <v/>
      </c>
      <c r="V8" s="12">
        <f>IFERROR(U8/(F8*G8),"")</f>
        <v/>
      </c>
      <c r="W8" t="inlineStr">
        <is>
          <t>https://www.nutripure.fr/fr/musculation/147-1115-whey-chocolat-isolate.html#/332-poids_poudre-seau_2kg</t>
        </is>
      </c>
      <c r="X8" t="inlineStr">
        <is>
          <t>Confirmé via Playwright click sur variant radio Seau 2KG (id=332). Page nutripure.fr. Agent v2 avait mal lu '90€' (probablement le 'à partir de' affiché sur la page parent).</t>
        </is>
      </c>
    </row>
    <row r="9">
      <c r="A9">
        <f>'Benchmark détaillé'!I1</f>
        <v/>
      </c>
      <c r="B9" t="inlineStr">
        <is>
          <t>Whey Isolat Native 4kg</t>
        </is>
      </c>
      <c r="C9">
        <f>'Benchmark détaillé'!I4</f>
        <v/>
      </c>
      <c r="D9">
        <f>'Benchmark détaillé'!I10</f>
        <v/>
      </c>
      <c r="E9">
        <f>'Benchmark détaillé'!I5</f>
        <v/>
      </c>
      <c r="F9">
        <f>'Benchmark détaillé'!I15</f>
        <v/>
      </c>
      <c r="G9">
        <f>'Benchmark détaillé'!I13</f>
        <v/>
      </c>
      <c r="H9">
        <f>'Benchmark détaillé'!I21</f>
        <v/>
      </c>
      <c r="I9">
        <f>'Benchmark détaillé'!I22</f>
        <v/>
      </c>
      <c r="J9">
        <f>'Benchmark détaillé'!I23</f>
        <v/>
      </c>
      <c r="K9" s="12">
        <f>IFERROR((H9-I9)/H9*100,"")</f>
        <v/>
      </c>
      <c r="L9" s="12">
        <f>IFERROR((I9-J9)/I9*100,"")</f>
        <v/>
      </c>
      <c r="M9" s="12">
        <f>IFERROR(I9/(E9/1000),"")</f>
        <v/>
      </c>
      <c r="N9" s="12">
        <f>IFERROR(I9/(F9*G9),"")</f>
        <v/>
      </c>
      <c r="O9">
        <f>'Benchmark détaillé'!I31</f>
        <v/>
      </c>
      <c r="P9">
        <f>'Benchmark détaillé'!I32</f>
        <v/>
      </c>
      <c r="Q9" s="12">
        <f>IFERROR(VLOOKUP(A9,'Discounts par marque'!$A:$G,4,FALSE),0)</f>
        <v/>
      </c>
      <c r="R9" s="12">
        <f>IFERROR(VLOOKUP(A9,'Discounts par marque'!$A:$G,5,FALSE),0)</f>
        <v/>
      </c>
      <c r="S9" s="12">
        <f>IFERROR(I9*(1-Q9/100),"")</f>
        <v/>
      </c>
      <c r="T9" s="12">
        <f>IFERROR(S9/(F9*G9),"")</f>
        <v/>
      </c>
      <c r="U9" s="12">
        <f>IFERROR(I9*(1-R9/100),"")</f>
        <v/>
      </c>
      <c r="V9" s="12">
        <f>IFERROR(U9/(F9*G9),"")</f>
        <v/>
      </c>
      <c r="W9" t="inlineStr">
        <is>
          <t>https://www.nutripure.fr/fr/musculation/147-674-whey-chocolat-isolate.html#/47-poids_poudre-seau_4kg</t>
        </is>
      </c>
      <c r="X9" t="inlineStr">
        <is>
          <t>Confirmé via Playwright click sur variant radio Seau 4KG (id=47). Prix réel 179,90€ (pas 159,90€ extrapolé).</t>
        </is>
      </c>
    </row>
    <row r="10">
      <c r="A10">
        <f>'Benchmark détaillé'!J1</f>
        <v/>
      </c>
      <c r="B10" t="inlineStr">
        <is>
          <t>Whey Native Isolate 500g</t>
        </is>
      </c>
      <c r="C10">
        <f>'Benchmark détaillé'!J4</f>
        <v/>
      </c>
      <c r="D10">
        <f>'Benchmark détaillé'!J10</f>
        <v/>
      </c>
      <c r="E10">
        <f>'Benchmark détaillé'!J5</f>
        <v/>
      </c>
      <c r="F10">
        <f>'Benchmark détaillé'!J15</f>
        <v/>
      </c>
      <c r="G10">
        <f>'Benchmark détaillé'!J13</f>
        <v/>
      </c>
      <c r="H10">
        <f>'Benchmark détaillé'!J21</f>
        <v/>
      </c>
      <c r="I10">
        <f>'Benchmark détaillé'!J22</f>
        <v/>
      </c>
      <c r="J10">
        <f>'Benchmark détaillé'!J23</f>
        <v/>
      </c>
      <c r="K10" s="12">
        <f>IFERROR((H10-I10)/H10*100,"")</f>
        <v/>
      </c>
      <c r="L10" s="12">
        <f>IFERROR((I10-J10)/I10*100,"")</f>
        <v/>
      </c>
      <c r="M10" s="12">
        <f>IFERROR(I10/(E10/1000),"")</f>
        <v/>
      </c>
      <c r="N10" s="12">
        <f>IFERROR(I10/(F10*G10),"")</f>
        <v/>
      </c>
      <c r="O10">
        <f>'Benchmark détaillé'!J31</f>
        <v/>
      </c>
      <c r="P10">
        <f>'Benchmark détaillé'!J32</f>
        <v/>
      </c>
      <c r="Q10" s="12">
        <f>IFERROR(VLOOKUP(A10,'Discounts par marque'!$A:$G,4,FALSE),0)</f>
        <v/>
      </c>
      <c r="R10" s="12">
        <f>IFERROR(VLOOKUP(A10,'Discounts par marque'!$A:$G,5,FALSE),0)</f>
        <v/>
      </c>
      <c r="S10" s="12">
        <f>IFERROR(I10*(1-Q10/100),"")</f>
        <v/>
      </c>
      <c r="T10" s="12">
        <f>IFERROR(S10/(F10*G10),"")</f>
        <v/>
      </c>
      <c r="U10" s="12">
        <f>IFERROR(I10*(1-R10/100),"")</f>
        <v/>
      </c>
      <c r="V10" s="12">
        <f>IFERROR(U10/(F10*G10),"")</f>
        <v/>
      </c>
      <c r="W10" t="inlineStr">
        <is>
          <t>https://www.nutrimuscle.com/products/whey-native-isolate</t>
        </is>
      </c>
    </row>
    <row r="11">
      <c r="A11">
        <f>'Benchmark détaillé'!K1</f>
        <v/>
      </c>
      <c r="B11" t="inlineStr">
        <is>
          <t>Whey Native Isolate</t>
        </is>
      </c>
      <c r="C11">
        <f>'Benchmark détaillé'!K4</f>
        <v/>
      </c>
      <c r="D11">
        <f>'Benchmark détaillé'!K10</f>
        <v/>
      </c>
      <c r="E11">
        <f>'Benchmark détaillé'!K5</f>
        <v/>
      </c>
      <c r="F11">
        <f>'Benchmark détaillé'!K15</f>
        <v/>
      </c>
      <c r="G11">
        <f>'Benchmark détaillé'!K13</f>
        <v/>
      </c>
      <c r="H11">
        <f>'Benchmark détaillé'!K21</f>
        <v/>
      </c>
      <c r="I11">
        <f>'Benchmark détaillé'!K22</f>
        <v/>
      </c>
      <c r="J11">
        <f>'Benchmark détaillé'!K23</f>
        <v/>
      </c>
      <c r="K11" s="12">
        <f>IFERROR((H11-I11)/H11*100,"")</f>
        <v/>
      </c>
      <c r="L11" s="12">
        <f>IFERROR((I11-J11)/I11*100,"")</f>
        <v/>
      </c>
      <c r="M11" s="12">
        <f>IFERROR(I11/(E11/1000),"")</f>
        <v/>
      </c>
      <c r="N11" s="12">
        <f>IFERROR(I11/(F11*G11),"")</f>
        <v/>
      </c>
      <c r="O11">
        <f>'Benchmark détaillé'!K31</f>
        <v/>
      </c>
      <c r="P11">
        <f>'Benchmark détaillé'!K32</f>
        <v/>
      </c>
      <c r="Q11" s="12">
        <f>IFERROR(VLOOKUP(A11,'Discounts par marque'!$A:$G,4,FALSE),0)</f>
        <v/>
      </c>
      <c r="R11" s="12">
        <f>IFERROR(VLOOKUP(A11,'Discounts par marque'!$A:$G,5,FALSE),0)</f>
        <v/>
      </c>
      <c r="S11" s="12">
        <f>IFERROR(I11*(1-Q11/100),"")</f>
        <v/>
      </c>
      <c r="T11" s="12">
        <f>IFERROR(S11/(F11*G11),"")</f>
        <v/>
      </c>
      <c r="U11" s="12">
        <f>IFERROR(I11*(1-R11/100),"")</f>
        <v/>
      </c>
      <c r="V11" s="12">
        <f>IFERROR(U11/(F11*G11),"")</f>
        <v/>
      </c>
      <c r="W11" t="inlineStr">
        <is>
          <t>https://www.nutrimuscle.com/products/whey-isolat-native</t>
        </is>
      </c>
      <c r="X11" t="inlineStr">
        <is>
          <t>v1 avait 39.95€ (+45% correction)</t>
        </is>
      </c>
    </row>
    <row r="12">
      <c r="A12">
        <f>'Benchmark détaillé'!L1</f>
        <v/>
      </c>
      <c r="B12" t="inlineStr">
        <is>
          <t>Whey Native Isolate 2,25kg</t>
        </is>
      </c>
      <c r="C12">
        <f>'Benchmark détaillé'!L4</f>
        <v/>
      </c>
      <c r="D12">
        <f>'Benchmark détaillé'!L10</f>
        <v/>
      </c>
      <c r="E12">
        <f>'Benchmark détaillé'!L5</f>
        <v/>
      </c>
      <c r="F12">
        <f>'Benchmark détaillé'!L15</f>
        <v/>
      </c>
      <c r="G12">
        <f>'Benchmark détaillé'!L13</f>
        <v/>
      </c>
      <c r="H12">
        <f>'Benchmark détaillé'!L21</f>
        <v/>
      </c>
      <c r="I12">
        <f>'Benchmark détaillé'!L22</f>
        <v/>
      </c>
      <c r="J12">
        <f>'Benchmark détaillé'!L23</f>
        <v/>
      </c>
      <c r="K12" s="12">
        <f>IFERROR((H12-I12)/H12*100,"")</f>
        <v/>
      </c>
      <c r="L12" s="12">
        <f>IFERROR((I12-J12)/I12*100,"")</f>
        <v/>
      </c>
      <c r="M12" s="12">
        <f>IFERROR(I12/(E12/1000),"")</f>
        <v/>
      </c>
      <c r="N12" s="12">
        <f>IFERROR(I12/(F12*G12),"")</f>
        <v/>
      </c>
      <c r="O12">
        <f>'Benchmark détaillé'!L31</f>
        <v/>
      </c>
      <c r="P12">
        <f>'Benchmark détaillé'!L32</f>
        <v/>
      </c>
      <c r="Q12" s="12">
        <f>IFERROR(VLOOKUP(A12,'Discounts par marque'!$A:$G,4,FALSE),0)</f>
        <v/>
      </c>
      <c r="R12" s="12">
        <f>IFERROR(VLOOKUP(A12,'Discounts par marque'!$A:$G,5,FALSE),0)</f>
        <v/>
      </c>
      <c r="S12" s="12">
        <f>IFERROR(I12*(1-Q12/100),"")</f>
        <v/>
      </c>
      <c r="T12" s="12">
        <f>IFERROR(S12/(F12*G12),"")</f>
        <v/>
      </c>
      <c r="U12" s="12">
        <f>IFERROR(I12*(1-R12/100),"")</f>
        <v/>
      </c>
      <c r="V12" s="12">
        <f>IFERROR(U12/(F12*G12),"")</f>
        <v/>
      </c>
      <c r="W12" t="inlineStr">
        <is>
          <t>https://www.nutrimuscle.com/products/whey-native-isolate</t>
        </is>
      </c>
    </row>
    <row r="13">
      <c r="A13">
        <f>'Benchmark détaillé'!M1</f>
        <v/>
      </c>
      <c r="B13" t="inlineStr">
        <is>
          <t>Whey Native Isolate 4kg</t>
        </is>
      </c>
      <c r="C13">
        <f>'Benchmark détaillé'!M4</f>
        <v/>
      </c>
      <c r="D13">
        <f>'Benchmark détaillé'!M10</f>
        <v/>
      </c>
      <c r="E13">
        <f>'Benchmark détaillé'!M5</f>
        <v/>
      </c>
      <c r="F13">
        <f>'Benchmark détaillé'!M15</f>
        <v/>
      </c>
      <c r="G13">
        <f>'Benchmark détaillé'!M13</f>
        <v/>
      </c>
      <c r="H13">
        <f>'Benchmark détaillé'!M21</f>
        <v/>
      </c>
      <c r="I13">
        <f>'Benchmark détaillé'!M22</f>
        <v/>
      </c>
      <c r="J13">
        <f>'Benchmark détaillé'!M23</f>
        <v/>
      </c>
      <c r="K13" s="12">
        <f>IFERROR((H13-I13)/H13*100,"")</f>
        <v/>
      </c>
      <c r="L13" s="12">
        <f>IFERROR((I13-J13)/I13*100,"")</f>
        <v/>
      </c>
      <c r="M13" s="12">
        <f>IFERROR(I13/(E13/1000),"")</f>
        <v/>
      </c>
      <c r="N13" s="12">
        <f>IFERROR(I13/(F13*G13),"")</f>
        <v/>
      </c>
      <c r="O13">
        <f>'Benchmark détaillé'!M31</f>
        <v/>
      </c>
      <c r="P13">
        <f>'Benchmark détaillé'!M32</f>
        <v/>
      </c>
      <c r="Q13" s="12">
        <f>IFERROR(VLOOKUP(A13,'Discounts par marque'!$A:$G,4,FALSE),0)</f>
        <v/>
      </c>
      <c r="R13" s="12">
        <f>IFERROR(VLOOKUP(A13,'Discounts par marque'!$A:$G,5,FALSE),0)</f>
        <v/>
      </c>
      <c r="S13" s="12">
        <f>IFERROR(I13*(1-Q13/100),"")</f>
        <v/>
      </c>
      <c r="T13" s="12">
        <f>IFERROR(S13/(F13*G13),"")</f>
        <v/>
      </c>
      <c r="U13" s="12">
        <f>IFERROR(I13*(1-R13/100),"")</f>
        <v/>
      </c>
      <c r="V13" s="12">
        <f>IFERROR(U13/(F13*G13),"")</f>
        <v/>
      </c>
      <c r="W13" t="inlineStr">
        <is>
          <t>https://www.nutrimuscle.com/products/whey-native-isolate</t>
        </is>
      </c>
    </row>
    <row r="14">
      <c r="A14">
        <f>'Benchmark détaillé'!N1</f>
        <v/>
      </c>
      <c r="B14" t="inlineStr">
        <is>
          <t>Whey Native Concentrat 500g</t>
        </is>
      </c>
      <c r="C14">
        <f>'Benchmark détaillé'!N4</f>
        <v/>
      </c>
      <c r="D14">
        <f>'Benchmark détaillé'!N10</f>
        <v/>
      </c>
      <c r="E14">
        <f>'Benchmark détaillé'!N5</f>
        <v/>
      </c>
      <c r="F14">
        <f>'Benchmark détaillé'!N15</f>
        <v/>
      </c>
      <c r="G14">
        <f>'Benchmark détaillé'!N13</f>
        <v/>
      </c>
      <c r="H14">
        <f>'Benchmark détaillé'!N21</f>
        <v/>
      </c>
      <c r="I14">
        <f>'Benchmark détaillé'!N22</f>
        <v/>
      </c>
      <c r="J14">
        <f>'Benchmark détaillé'!N23</f>
        <v/>
      </c>
      <c r="K14" s="12">
        <f>IFERROR((H14-I14)/H14*100,"")</f>
        <v/>
      </c>
      <c r="L14" s="12">
        <f>IFERROR((I14-J14)/I14*100,"")</f>
        <v/>
      </c>
      <c r="M14" s="12">
        <f>IFERROR(I14/(E14/1000),"")</f>
        <v/>
      </c>
      <c r="N14" s="12">
        <f>IFERROR(I14/(F14*G14),"")</f>
        <v/>
      </c>
      <c r="O14">
        <f>'Benchmark détaillé'!N31</f>
        <v/>
      </c>
      <c r="P14">
        <f>'Benchmark détaillé'!N32</f>
        <v/>
      </c>
      <c r="Q14" s="12">
        <f>IFERROR(VLOOKUP(A14,'Discounts par marque'!$A:$G,4,FALSE),0)</f>
        <v/>
      </c>
      <c r="R14" s="12">
        <f>IFERROR(VLOOKUP(A14,'Discounts par marque'!$A:$G,5,FALSE),0)</f>
        <v/>
      </c>
      <c r="S14" s="12">
        <f>IFERROR(I14*(1-Q14/100),"")</f>
        <v/>
      </c>
      <c r="T14" s="12">
        <f>IFERROR(S14/(F14*G14),"")</f>
        <v/>
      </c>
      <c r="U14" s="12">
        <f>IFERROR(I14*(1-R14/100),"")</f>
        <v/>
      </c>
      <c r="V14" s="12">
        <f>IFERROR(U14/(F14*G14),"")</f>
        <v/>
      </c>
      <c r="W14" t="inlineStr">
        <is>
          <t>https://www.nutrimuscle.com/products/whey-native</t>
        </is>
      </c>
    </row>
    <row r="15">
      <c r="A15">
        <f>'Benchmark détaillé'!O1</f>
        <v/>
      </c>
      <c r="B15" t="inlineStr">
        <is>
          <t>Whey Native Concentrat</t>
        </is>
      </c>
      <c r="C15">
        <f>'Benchmark détaillé'!O4</f>
        <v/>
      </c>
      <c r="D15">
        <f>'Benchmark détaillé'!O10</f>
        <v/>
      </c>
      <c r="E15">
        <f>'Benchmark détaillé'!O5</f>
        <v/>
      </c>
      <c r="F15">
        <f>'Benchmark détaillé'!O15</f>
        <v/>
      </c>
      <c r="G15">
        <f>'Benchmark détaillé'!O13</f>
        <v/>
      </c>
      <c r="H15">
        <f>'Benchmark détaillé'!O21</f>
        <v/>
      </c>
      <c r="I15">
        <f>'Benchmark détaillé'!O22</f>
        <v/>
      </c>
      <c r="J15">
        <f>'Benchmark détaillé'!O23</f>
        <v/>
      </c>
      <c r="K15" s="12">
        <f>IFERROR((H15-I15)/H15*100,"")</f>
        <v/>
      </c>
      <c r="L15" s="12">
        <f>IFERROR((I15-J15)/I15*100,"")</f>
        <v/>
      </c>
      <c r="M15" s="12">
        <f>IFERROR(I15/(E15/1000),"")</f>
        <v/>
      </c>
      <c r="N15" s="12">
        <f>IFERROR(I15/(F15*G15),"")</f>
        <v/>
      </c>
      <c r="O15">
        <f>'Benchmark détaillé'!O31</f>
        <v/>
      </c>
      <c r="P15">
        <f>'Benchmark détaillé'!O32</f>
        <v/>
      </c>
      <c r="Q15" s="12">
        <f>IFERROR(VLOOKUP(A15,'Discounts par marque'!$A:$G,4,FALSE),0)</f>
        <v/>
      </c>
      <c r="R15" s="12">
        <f>IFERROR(VLOOKUP(A15,'Discounts par marque'!$A:$G,5,FALSE),0)</f>
        <v/>
      </c>
      <c r="S15" s="12">
        <f>IFERROR(I15*(1-Q15/100),"")</f>
        <v/>
      </c>
      <c r="T15" s="12">
        <f>IFERROR(S15/(F15*G15),"")</f>
        <v/>
      </c>
      <c r="U15" s="12">
        <f>IFERROR(I15*(1-R15/100),"")</f>
        <v/>
      </c>
      <c r="V15" s="12">
        <f>IFERROR(U15/(F15*G15),"")</f>
        <v/>
      </c>
      <c r="W15" t="inlineStr">
        <is>
          <t>https://www.nutrimuscle.com/products/whey-concentree-native</t>
        </is>
      </c>
      <c r="X15" t="inlineStr">
        <is>
          <t>v1 avait 25.95€ (+46% correction)</t>
        </is>
      </c>
    </row>
    <row r="16">
      <c r="A16">
        <f>'Benchmark détaillé'!P1</f>
        <v/>
      </c>
      <c r="B16" t="inlineStr">
        <is>
          <t>Whey Native Concentrat 2,25kg</t>
        </is>
      </c>
      <c r="C16">
        <f>'Benchmark détaillé'!P4</f>
        <v/>
      </c>
      <c r="D16">
        <f>'Benchmark détaillé'!P10</f>
        <v/>
      </c>
      <c r="E16">
        <f>'Benchmark détaillé'!P5</f>
        <v/>
      </c>
      <c r="F16">
        <f>'Benchmark détaillé'!P15</f>
        <v/>
      </c>
      <c r="G16">
        <f>'Benchmark détaillé'!P13</f>
        <v/>
      </c>
      <c r="H16">
        <f>'Benchmark détaillé'!P21</f>
        <v/>
      </c>
      <c r="I16">
        <f>'Benchmark détaillé'!P22</f>
        <v/>
      </c>
      <c r="J16">
        <f>'Benchmark détaillé'!P23</f>
        <v/>
      </c>
      <c r="K16" s="12">
        <f>IFERROR((H16-I16)/H16*100,"")</f>
        <v/>
      </c>
      <c r="L16" s="12">
        <f>IFERROR((I16-J16)/I16*100,"")</f>
        <v/>
      </c>
      <c r="M16" s="12">
        <f>IFERROR(I16/(E16/1000),"")</f>
        <v/>
      </c>
      <c r="N16" s="12">
        <f>IFERROR(I16/(F16*G16),"")</f>
        <v/>
      </c>
      <c r="O16">
        <f>'Benchmark détaillé'!P31</f>
        <v/>
      </c>
      <c r="P16">
        <f>'Benchmark détaillé'!P32</f>
        <v/>
      </c>
      <c r="Q16" s="12">
        <f>IFERROR(VLOOKUP(A16,'Discounts par marque'!$A:$G,4,FALSE),0)</f>
        <v/>
      </c>
      <c r="R16" s="12">
        <f>IFERROR(VLOOKUP(A16,'Discounts par marque'!$A:$G,5,FALSE),0)</f>
        <v/>
      </c>
      <c r="S16" s="12">
        <f>IFERROR(I16*(1-Q16/100),"")</f>
        <v/>
      </c>
      <c r="T16" s="12">
        <f>IFERROR(S16/(F16*G16),"")</f>
        <v/>
      </c>
      <c r="U16" s="12">
        <f>IFERROR(I16*(1-R16/100),"")</f>
        <v/>
      </c>
      <c r="V16" s="12">
        <f>IFERROR(U16/(F16*G16),"")</f>
        <v/>
      </c>
      <c r="W16" t="inlineStr">
        <is>
          <t>https://www.nutrimuscle.com/products/whey-native</t>
        </is>
      </c>
    </row>
    <row r="17">
      <c r="A17">
        <f>'Benchmark détaillé'!Q1</f>
        <v/>
      </c>
      <c r="B17" t="inlineStr">
        <is>
          <t>Whey Native Concentrat 4kg</t>
        </is>
      </c>
      <c r="C17">
        <f>'Benchmark détaillé'!Q4</f>
        <v/>
      </c>
      <c r="D17">
        <f>'Benchmark détaillé'!Q10</f>
        <v/>
      </c>
      <c r="E17">
        <f>'Benchmark détaillé'!Q5</f>
        <v/>
      </c>
      <c r="F17">
        <f>'Benchmark détaillé'!Q15</f>
        <v/>
      </c>
      <c r="G17">
        <f>'Benchmark détaillé'!Q13</f>
        <v/>
      </c>
      <c r="H17">
        <f>'Benchmark détaillé'!Q21</f>
        <v/>
      </c>
      <c r="I17">
        <f>'Benchmark détaillé'!Q22</f>
        <v/>
      </c>
      <c r="J17">
        <f>'Benchmark détaillé'!Q23</f>
        <v/>
      </c>
      <c r="K17" s="12">
        <f>IFERROR((H17-I17)/H17*100,"")</f>
        <v/>
      </c>
      <c r="L17" s="12">
        <f>IFERROR((I17-J17)/I17*100,"")</f>
        <v/>
      </c>
      <c r="M17" s="12">
        <f>IFERROR(I17/(E17/1000),"")</f>
        <v/>
      </c>
      <c r="N17" s="12">
        <f>IFERROR(I17/(F17*G17),"")</f>
        <v/>
      </c>
      <c r="O17">
        <f>'Benchmark détaillé'!Q31</f>
        <v/>
      </c>
      <c r="P17">
        <f>'Benchmark détaillé'!Q32</f>
        <v/>
      </c>
      <c r="Q17" s="12">
        <f>IFERROR(VLOOKUP(A17,'Discounts par marque'!$A:$G,4,FALSE),0)</f>
        <v/>
      </c>
      <c r="R17" s="12">
        <f>IFERROR(VLOOKUP(A17,'Discounts par marque'!$A:$G,5,FALSE),0)</f>
        <v/>
      </c>
      <c r="S17" s="12">
        <f>IFERROR(I17*(1-Q17/100),"")</f>
        <v/>
      </c>
      <c r="T17" s="12">
        <f>IFERROR(S17/(F17*G17),"")</f>
        <v/>
      </c>
      <c r="U17" s="12">
        <f>IFERROR(I17*(1-R17/100),"")</f>
        <v/>
      </c>
      <c r="V17" s="12">
        <f>IFERROR(U17/(F17*G17),"")</f>
        <v/>
      </c>
      <c r="W17" t="inlineStr">
        <is>
          <t>https://www.nutrimuscle.com/products/whey-native</t>
        </is>
      </c>
    </row>
    <row r="18">
      <c r="A18">
        <f>'Benchmark détaillé'!R1</f>
        <v/>
      </c>
      <c r="B18" t="inlineStr">
        <is>
          <t>Whey Isolate Native 900g</t>
        </is>
      </c>
      <c r="C18">
        <f>'Benchmark détaillé'!R4</f>
        <v/>
      </c>
      <c r="D18">
        <f>'Benchmark détaillé'!R10</f>
        <v/>
      </c>
      <c r="E18">
        <f>'Benchmark détaillé'!R5</f>
        <v/>
      </c>
      <c r="F18">
        <f>'Benchmark détaillé'!R15</f>
        <v/>
      </c>
      <c r="G18">
        <f>'Benchmark détaillé'!R13</f>
        <v/>
      </c>
      <c r="H18">
        <f>'Benchmark détaillé'!R21</f>
        <v/>
      </c>
      <c r="I18">
        <f>'Benchmark détaillé'!R22</f>
        <v/>
      </c>
      <c r="J18">
        <f>'Benchmark détaillé'!R23</f>
        <v/>
      </c>
      <c r="K18" s="12">
        <f>IFERROR((H18-I18)/H18*100,"")</f>
        <v/>
      </c>
      <c r="L18" s="12">
        <f>IFERROR((I18-J18)/I18*100,"")</f>
        <v/>
      </c>
      <c r="M18" s="12">
        <f>IFERROR(I18/(E18/1000),"")</f>
        <v/>
      </c>
      <c r="N18" s="12">
        <f>IFERROR(I18/(F18*G18),"")</f>
        <v/>
      </c>
      <c r="O18">
        <f>'Benchmark détaillé'!R31</f>
        <v/>
      </c>
      <c r="P18">
        <f>'Benchmark détaillé'!R32</f>
        <v/>
      </c>
      <c r="Q18" s="12">
        <f>IFERROR(VLOOKUP(A18,'Discounts par marque'!$A:$G,4,FALSE),0)</f>
        <v/>
      </c>
      <c r="R18" s="12">
        <f>IFERROR(VLOOKUP(A18,'Discounts par marque'!$A:$G,5,FALSE),0)</f>
        <v/>
      </c>
      <c r="S18" s="12">
        <f>IFERROR(I18*(1-Q18/100),"")</f>
        <v/>
      </c>
      <c r="T18" s="12">
        <f>IFERROR(S18/(F18*G18),"")</f>
        <v/>
      </c>
      <c r="U18" s="12">
        <f>IFERROR(I18*(1-R18/100),"")</f>
        <v/>
      </c>
      <c r="V18" s="12">
        <f>IFERROR(U18/(F18*G18),"")</f>
        <v/>
      </c>
      <c r="W18" t="inlineStr">
        <is>
          <t>https://nutriandco.com/fr/produits/whey-isolate-native</t>
        </is>
      </c>
    </row>
    <row r="19">
      <c r="A19">
        <f>'Benchmark détaillé'!S1</f>
        <v/>
      </c>
      <c r="B19" t="inlineStr">
        <is>
          <t>Whey Concentrée Native 900g</t>
        </is>
      </c>
      <c r="C19">
        <f>'Benchmark détaillé'!S4</f>
        <v/>
      </c>
      <c r="D19">
        <f>'Benchmark détaillé'!S10</f>
        <v/>
      </c>
      <c r="E19">
        <f>'Benchmark détaillé'!S5</f>
        <v/>
      </c>
      <c r="F19">
        <f>'Benchmark détaillé'!S15</f>
        <v/>
      </c>
      <c r="G19">
        <f>'Benchmark détaillé'!S13</f>
        <v/>
      </c>
      <c r="H19">
        <f>'Benchmark détaillé'!S21</f>
        <v/>
      </c>
      <c r="I19">
        <f>'Benchmark détaillé'!S22</f>
        <v/>
      </c>
      <c r="J19">
        <f>'Benchmark détaillé'!S23</f>
        <v/>
      </c>
      <c r="K19" s="12">
        <f>IFERROR((H19-I19)/H19*100,"")</f>
        <v/>
      </c>
      <c r="L19" s="12">
        <f>IFERROR((I19-J19)/I19*100,"")</f>
        <v/>
      </c>
      <c r="M19" s="12">
        <f>IFERROR(I19/(E19/1000),"")</f>
        <v/>
      </c>
      <c r="N19" s="12">
        <f>IFERROR(I19/(F19*G19),"")</f>
        <v/>
      </c>
      <c r="O19">
        <f>'Benchmark détaillé'!S31</f>
        <v/>
      </c>
      <c r="P19">
        <f>'Benchmark détaillé'!S32</f>
        <v/>
      </c>
      <c r="Q19" s="12">
        <f>IFERROR(VLOOKUP(A19,'Discounts par marque'!$A:$G,4,FALSE),0)</f>
        <v/>
      </c>
      <c r="R19" s="12">
        <f>IFERROR(VLOOKUP(A19,'Discounts par marque'!$A:$G,5,FALSE),0)</f>
        <v/>
      </c>
      <c r="S19" s="12">
        <f>IFERROR(I19*(1-Q19/100),"")</f>
        <v/>
      </c>
      <c r="T19" s="12">
        <f>IFERROR(S19/(F19*G19),"")</f>
        <v/>
      </c>
      <c r="U19" s="12">
        <f>IFERROR(I19*(1-R19/100),"")</f>
        <v/>
      </c>
      <c r="V19" s="12">
        <f>IFERROR(U19/(F19*G19),"")</f>
        <v/>
      </c>
      <c r="W19" t="inlineStr">
        <is>
          <t>https://nutriandco.com/fr/produits/whey-native</t>
        </is>
      </c>
    </row>
    <row r="20">
      <c r="A20">
        <f>'Benchmark détaillé'!T1</f>
        <v/>
      </c>
      <c r="B20" t="inlineStr">
        <is>
          <t>Whey Native 810g</t>
        </is>
      </c>
      <c r="C20">
        <f>'Benchmark détaillé'!T4</f>
        <v/>
      </c>
      <c r="D20">
        <f>'Benchmark détaillé'!T10</f>
        <v/>
      </c>
      <c r="E20">
        <f>'Benchmark détaillé'!T5</f>
        <v/>
      </c>
      <c r="F20">
        <f>'Benchmark détaillé'!T15</f>
        <v/>
      </c>
      <c r="G20">
        <f>'Benchmark détaillé'!T13</f>
        <v/>
      </c>
      <c r="H20">
        <f>'Benchmark détaillé'!T21</f>
        <v/>
      </c>
      <c r="I20">
        <f>'Benchmark détaillé'!T22</f>
        <v/>
      </c>
      <c r="J20">
        <f>'Benchmark détaillé'!T23</f>
        <v/>
      </c>
      <c r="K20" s="12">
        <f>IFERROR((H20-I20)/H20*100,"")</f>
        <v/>
      </c>
      <c r="L20" s="12">
        <f>IFERROR((I20-J20)/I20*100,"")</f>
        <v/>
      </c>
      <c r="M20" s="12">
        <f>IFERROR(I20/(E20/1000),"")</f>
        <v/>
      </c>
      <c r="N20" s="12">
        <f>IFERROR(I20/(F20*G20),"")</f>
        <v/>
      </c>
      <c r="O20">
        <f>'Benchmark détaillé'!T31</f>
        <v/>
      </c>
      <c r="P20">
        <f>'Benchmark détaillé'!T32</f>
        <v/>
      </c>
      <c r="Q20" s="12">
        <f>IFERROR(VLOOKUP(A20,'Discounts par marque'!$A:$G,4,FALSE),0)</f>
        <v/>
      </c>
      <c r="R20" s="12">
        <f>IFERROR(VLOOKUP(A20,'Discounts par marque'!$A:$G,5,FALSE),0)</f>
        <v/>
      </c>
      <c r="S20" s="12">
        <f>IFERROR(I20*(1-Q20/100),"")</f>
        <v/>
      </c>
      <c r="T20" s="12">
        <f>IFERROR(S20/(F20*G20),"")</f>
        <v/>
      </c>
      <c r="U20" s="12">
        <f>IFERROR(I20*(1-R20/100),"")</f>
        <v/>
      </c>
      <c r="V20" s="12">
        <f>IFERROR(U20/(F20*G20),"")</f>
        <v/>
      </c>
      <c r="W20" t="inlineStr">
        <is>
          <t>https://www.aqeelab-nutrition.fr/products/whey-native-fabriquee-en-france-lait-francais</t>
        </is>
      </c>
    </row>
    <row r="21">
      <c r="A21">
        <f>'Benchmark détaillé'!U1</f>
        <v/>
      </c>
      <c r="B21" t="inlineStr">
        <is>
          <t>Iso Zero 100% Whey Protéine 500g</t>
        </is>
      </c>
      <c r="C21">
        <f>'Benchmark détaillé'!U4</f>
        <v/>
      </c>
      <c r="D21">
        <f>'Benchmark détaillé'!U10</f>
        <v/>
      </c>
      <c r="E21">
        <f>'Benchmark détaillé'!U5</f>
        <v/>
      </c>
      <c r="F21">
        <f>'Benchmark détaillé'!U15</f>
        <v/>
      </c>
      <c r="G21">
        <f>'Benchmark détaillé'!U13</f>
        <v/>
      </c>
      <c r="H21">
        <f>'Benchmark détaillé'!U21</f>
        <v/>
      </c>
      <c r="I21">
        <f>'Benchmark détaillé'!U22</f>
        <v/>
      </c>
      <c r="J21">
        <f>'Benchmark détaillé'!U23</f>
        <v/>
      </c>
      <c r="K21" s="12">
        <f>IFERROR((H21-I21)/H21*100,"")</f>
        <v/>
      </c>
      <c r="L21" s="12">
        <f>IFERROR((I21-J21)/I21*100,"")</f>
        <v/>
      </c>
      <c r="M21" s="12">
        <f>IFERROR(I21/(E21/1000),"")</f>
        <v/>
      </c>
      <c r="N21" s="12">
        <f>IFERROR(I21/(F21*G21),"")</f>
        <v/>
      </c>
      <c r="O21">
        <f>'Benchmark détaillé'!U31</f>
        <v/>
      </c>
      <c r="P21">
        <f>'Benchmark détaillé'!U32</f>
        <v/>
      </c>
      <c r="Q21" s="12">
        <f>IFERROR(VLOOKUP(A21,'Discounts par marque'!$A:$G,4,FALSE),0)</f>
        <v/>
      </c>
      <c r="R21" s="12">
        <f>IFERROR(VLOOKUP(A21,'Discounts par marque'!$A:$G,5,FALSE),0)</f>
        <v/>
      </c>
      <c r="S21" s="12">
        <f>IFERROR(I21*(1-Q21/100),"")</f>
        <v/>
      </c>
      <c r="T21" s="12">
        <f>IFERROR(S21/(F21*G21),"")</f>
        <v/>
      </c>
      <c r="U21" s="12">
        <f>IFERROR(I21*(1-R21/100),"")</f>
        <v/>
      </c>
      <c r="V21" s="12">
        <f>IFERROR(U21/(F21*G21),"")</f>
        <v/>
      </c>
      <c r="W21" t="inlineStr">
        <is>
          <t>https://www.ericfavre.com/fr_fr/proteines/iso-zero-100-whey-proteine-cookies-cream-500g-p-194-o-1216.htm</t>
        </is>
      </c>
    </row>
    <row r="22">
      <c r="A22">
        <f>'Benchmark détaillé'!V1</f>
        <v/>
      </c>
      <c r="B22" t="inlineStr">
        <is>
          <t>Iso Zero 100% Whey Protéine 1,5kg</t>
        </is>
      </c>
      <c r="C22">
        <f>'Benchmark détaillé'!V4</f>
        <v/>
      </c>
      <c r="D22">
        <f>'Benchmark détaillé'!V10</f>
        <v/>
      </c>
      <c r="E22">
        <f>'Benchmark détaillé'!V5</f>
        <v/>
      </c>
      <c r="F22">
        <f>'Benchmark détaillé'!V15</f>
        <v/>
      </c>
      <c r="G22">
        <f>'Benchmark détaillé'!V13</f>
        <v/>
      </c>
      <c r="H22">
        <f>'Benchmark détaillé'!V21</f>
        <v/>
      </c>
      <c r="I22">
        <f>'Benchmark détaillé'!V22</f>
        <v/>
      </c>
      <c r="J22">
        <f>'Benchmark détaillé'!V23</f>
        <v/>
      </c>
      <c r="K22" s="12">
        <f>IFERROR((H22-I22)/H22*100,"")</f>
        <v/>
      </c>
      <c r="L22" s="12">
        <f>IFERROR((I22-J22)/I22*100,"")</f>
        <v/>
      </c>
      <c r="M22" s="12">
        <f>IFERROR(I22/(E22/1000),"")</f>
        <v/>
      </c>
      <c r="N22" s="12">
        <f>IFERROR(I22/(F22*G22),"")</f>
        <v/>
      </c>
      <c r="O22">
        <f>'Benchmark détaillé'!V31</f>
        <v/>
      </c>
      <c r="P22">
        <f>'Benchmark détaillé'!V32</f>
        <v/>
      </c>
      <c r="Q22" s="12">
        <f>IFERROR(VLOOKUP(A22,'Discounts par marque'!$A:$G,4,FALSE),0)</f>
        <v/>
      </c>
      <c r="R22" s="12">
        <f>IFERROR(VLOOKUP(A22,'Discounts par marque'!$A:$G,5,FALSE),0)</f>
        <v/>
      </c>
      <c r="S22" s="12">
        <f>IFERROR(I22*(1-Q22/100),"")</f>
        <v/>
      </c>
      <c r="T22" s="12">
        <f>IFERROR(S22/(F22*G22),"")</f>
        <v/>
      </c>
      <c r="U22" s="12">
        <f>IFERROR(I22*(1-R22/100),"")</f>
        <v/>
      </c>
      <c r="V22" s="12">
        <f>IFERROR(U22/(F22*G22),"")</f>
        <v/>
      </c>
      <c r="W22" t="inlineStr">
        <is>
          <t>https://www.ericfavre.com/fr_fr/proteines/iso-zero-100-whey-proteine-choco-intense-1-5kg-p-194-o-1200.htm</t>
        </is>
      </c>
    </row>
    <row r="23">
      <c r="A23">
        <f>'Benchmark détaillé'!W1</f>
        <v/>
      </c>
      <c r="B23" t="inlineStr">
        <is>
          <t>Iso Zero 100% Whey Protéine 2kg</t>
        </is>
      </c>
      <c r="C23">
        <f>'Benchmark détaillé'!W4</f>
        <v/>
      </c>
      <c r="D23">
        <f>'Benchmark détaillé'!W10</f>
        <v/>
      </c>
      <c r="E23">
        <f>'Benchmark détaillé'!W5</f>
        <v/>
      </c>
      <c r="F23">
        <f>'Benchmark détaillé'!W15</f>
        <v/>
      </c>
      <c r="G23">
        <f>'Benchmark détaillé'!W13</f>
        <v/>
      </c>
      <c r="H23">
        <f>'Benchmark détaillé'!W21</f>
        <v/>
      </c>
      <c r="I23">
        <f>'Benchmark détaillé'!W22</f>
        <v/>
      </c>
      <c r="J23">
        <f>'Benchmark détaillé'!W23</f>
        <v/>
      </c>
      <c r="K23" s="12">
        <f>IFERROR((H23-I23)/H23*100,"")</f>
        <v/>
      </c>
      <c r="L23" s="12">
        <f>IFERROR((I23-J23)/I23*100,"")</f>
        <v/>
      </c>
      <c r="M23" s="12">
        <f>IFERROR(I23/(E23/1000),"")</f>
        <v/>
      </c>
      <c r="N23" s="12">
        <f>IFERROR(I23/(F23*G23),"")</f>
        <v/>
      </c>
      <c r="O23">
        <f>'Benchmark détaillé'!W31</f>
        <v/>
      </c>
      <c r="P23">
        <f>'Benchmark détaillé'!W32</f>
        <v/>
      </c>
      <c r="Q23" s="12">
        <f>IFERROR(VLOOKUP(A23,'Discounts par marque'!$A:$G,4,FALSE),0)</f>
        <v/>
      </c>
      <c r="R23" s="12">
        <f>IFERROR(VLOOKUP(A23,'Discounts par marque'!$A:$G,5,FALSE),0)</f>
        <v/>
      </c>
      <c r="S23" s="12">
        <f>IFERROR(I23*(1-Q23/100),"")</f>
        <v/>
      </c>
      <c r="T23" s="12">
        <f>IFERROR(S23/(F23*G23),"")</f>
        <v/>
      </c>
      <c r="U23" s="12">
        <f>IFERROR(I23*(1-R23/100),"")</f>
        <v/>
      </c>
      <c r="V23" s="12">
        <f>IFERROR(U23/(F23*G23),"")</f>
        <v/>
      </c>
      <c r="W23" t="inlineStr">
        <is>
          <t>https://www.ericfavre.com/fr_fr/proteines/iso-zero-100-whey-proteine-chocotella-2kg-p-194-o-155.htm</t>
        </is>
      </c>
    </row>
    <row r="24">
      <c r="A24">
        <f>'Benchmark détaillé'!X1</f>
        <v/>
      </c>
      <c r="B24" t="inlineStr">
        <is>
          <t>Whey Optimax Protein 500g</t>
        </is>
      </c>
      <c r="C24">
        <f>'Benchmark détaillé'!X4</f>
        <v/>
      </c>
      <c r="D24">
        <f>'Benchmark détaillé'!X10</f>
        <v/>
      </c>
      <c r="E24">
        <f>'Benchmark détaillé'!X5</f>
        <v/>
      </c>
      <c r="F24">
        <f>'Benchmark détaillé'!X15</f>
        <v/>
      </c>
      <c r="G24">
        <f>'Benchmark détaillé'!X13</f>
        <v/>
      </c>
      <c r="H24">
        <f>'Benchmark détaillé'!X21</f>
        <v/>
      </c>
      <c r="I24">
        <f>'Benchmark détaillé'!X22</f>
        <v/>
      </c>
      <c r="J24">
        <f>'Benchmark détaillé'!X23</f>
        <v/>
      </c>
      <c r="K24" s="12">
        <f>IFERROR((H24-I24)/H24*100,"")</f>
        <v/>
      </c>
      <c r="L24" s="12">
        <f>IFERROR((I24-J24)/I24*100,"")</f>
        <v/>
      </c>
      <c r="M24" s="12">
        <f>IFERROR(I24/(E24/1000),"")</f>
        <v/>
      </c>
      <c r="N24" s="12">
        <f>IFERROR(I24/(F24*G24),"")</f>
        <v/>
      </c>
      <c r="O24">
        <f>'Benchmark détaillé'!X31</f>
        <v/>
      </c>
      <c r="P24">
        <f>'Benchmark détaillé'!X32</f>
        <v/>
      </c>
      <c r="Q24" s="12">
        <f>IFERROR(VLOOKUP(A24,'Discounts par marque'!$A:$G,4,FALSE),0)</f>
        <v/>
      </c>
      <c r="R24" s="12">
        <f>IFERROR(VLOOKUP(A24,'Discounts par marque'!$A:$G,5,FALSE),0)</f>
        <v/>
      </c>
      <c r="S24" s="12">
        <f>IFERROR(I24*(1-Q24/100),"")</f>
        <v/>
      </c>
      <c r="T24" s="12">
        <f>IFERROR(S24/(F24*G24),"")</f>
        <v/>
      </c>
      <c r="U24" s="12">
        <f>IFERROR(I24*(1-R24/100),"")</f>
        <v/>
      </c>
      <c r="V24" s="12">
        <f>IFERROR(U24/(F24*G24),"")</f>
        <v/>
      </c>
      <c r="W24" t="inlineStr">
        <is>
          <t>https://www.ericfavre.com/fr_fr/proteines/whey-optimax-protein-biscuit-cookie-500g-p-622-o-1369.htm</t>
        </is>
      </c>
    </row>
    <row r="25">
      <c r="A25">
        <f>'Benchmark détaillé'!Y1</f>
        <v/>
      </c>
      <c r="B25" t="inlineStr">
        <is>
          <t>Whey Optimax Protein 1,5kg</t>
        </is>
      </c>
      <c r="C25">
        <f>'Benchmark détaillé'!Y4</f>
        <v/>
      </c>
      <c r="D25">
        <f>'Benchmark détaillé'!Y10</f>
        <v/>
      </c>
      <c r="E25">
        <f>'Benchmark détaillé'!Y5</f>
        <v/>
      </c>
      <c r="F25">
        <f>'Benchmark détaillé'!Y15</f>
        <v/>
      </c>
      <c r="G25">
        <f>'Benchmark détaillé'!Y13</f>
        <v/>
      </c>
      <c r="H25">
        <f>'Benchmark détaillé'!Y21</f>
        <v/>
      </c>
      <c r="I25">
        <f>'Benchmark détaillé'!Y22</f>
        <v/>
      </c>
      <c r="J25">
        <f>'Benchmark détaillé'!Y23</f>
        <v/>
      </c>
      <c r="K25" s="12">
        <f>IFERROR((H25-I25)/H25*100,"")</f>
        <v/>
      </c>
      <c r="L25" s="12">
        <f>IFERROR((I25-J25)/I25*100,"")</f>
        <v/>
      </c>
      <c r="M25" s="12">
        <f>IFERROR(I25/(E25/1000),"")</f>
        <v/>
      </c>
      <c r="N25" s="12">
        <f>IFERROR(I25/(F25*G25),"")</f>
        <v/>
      </c>
      <c r="O25">
        <f>'Benchmark détaillé'!Y31</f>
        <v/>
      </c>
      <c r="P25">
        <f>'Benchmark détaillé'!Y32</f>
        <v/>
      </c>
      <c r="Q25" s="12">
        <f>IFERROR(VLOOKUP(A25,'Discounts par marque'!$A:$G,4,FALSE),0)</f>
        <v/>
      </c>
      <c r="R25" s="12">
        <f>IFERROR(VLOOKUP(A25,'Discounts par marque'!$A:$G,5,FALSE),0)</f>
        <v/>
      </c>
      <c r="S25" s="12">
        <f>IFERROR(I25*(1-Q25/100),"")</f>
        <v/>
      </c>
      <c r="T25" s="12">
        <f>IFERROR(S25/(F25*G25),"")</f>
        <v/>
      </c>
      <c r="U25" s="12">
        <f>IFERROR(I25*(1-R25/100),"")</f>
        <v/>
      </c>
      <c r="V25" s="12">
        <f>IFERROR(U25/(F25*G25),"")</f>
        <v/>
      </c>
      <c r="W25" t="inlineStr">
        <is>
          <t>https://www.ericfavre.com/fr_fr/proteines/whey-optimax-protein-chocolat-1-5kg-p-622-o-1370.htm</t>
        </is>
      </c>
    </row>
    <row r="26">
      <c r="A26">
        <f>'Benchmark détaillé'!Z1</f>
        <v/>
      </c>
      <c r="B26" t="inlineStr">
        <is>
          <t>Whey Zero Protéine 2kg</t>
        </is>
      </c>
      <c r="C26">
        <f>'Benchmark détaillé'!Z4</f>
        <v/>
      </c>
      <c r="D26">
        <f>'Benchmark détaillé'!Z10</f>
        <v/>
      </c>
      <c r="E26">
        <f>'Benchmark détaillé'!Z5</f>
        <v/>
      </c>
      <c r="F26">
        <f>'Benchmark détaillé'!Z15</f>
        <v/>
      </c>
      <c r="G26">
        <f>'Benchmark détaillé'!Z13</f>
        <v/>
      </c>
      <c r="H26">
        <f>'Benchmark détaillé'!Z21</f>
        <v/>
      </c>
      <c r="I26">
        <f>'Benchmark détaillé'!Z22</f>
        <v/>
      </c>
      <c r="J26">
        <f>'Benchmark détaillé'!Z23</f>
        <v/>
      </c>
      <c r="K26" s="12">
        <f>IFERROR((H26-I26)/H26*100,"")</f>
        <v/>
      </c>
      <c r="L26" s="12">
        <f>IFERROR((I26-J26)/I26*100,"")</f>
        <v/>
      </c>
      <c r="M26" s="12">
        <f>IFERROR(I26/(E26/1000),"")</f>
        <v/>
      </c>
      <c r="N26" s="12">
        <f>IFERROR(I26/(F26*G26),"")</f>
        <v/>
      </c>
      <c r="O26">
        <f>'Benchmark détaillé'!Z31</f>
        <v/>
      </c>
      <c r="P26">
        <f>'Benchmark détaillé'!Z32</f>
        <v/>
      </c>
      <c r="Q26" s="12">
        <f>IFERROR(VLOOKUP(A26,'Discounts par marque'!$A:$G,4,FALSE),0)</f>
        <v/>
      </c>
      <c r="R26" s="12">
        <f>IFERROR(VLOOKUP(A26,'Discounts par marque'!$A:$G,5,FALSE),0)</f>
        <v/>
      </c>
      <c r="S26" s="12">
        <f>IFERROR(I26*(1-Q26/100),"")</f>
        <v/>
      </c>
      <c r="T26" s="12">
        <f>IFERROR(S26/(F26*G26),"")</f>
        <v/>
      </c>
      <c r="U26" s="12">
        <f>IFERROR(I26*(1-R26/100),"")</f>
        <v/>
      </c>
      <c r="V26" s="12">
        <f>IFERROR(U26/(F26*G26),"")</f>
        <v/>
      </c>
      <c r="W26" t="inlineStr">
        <is>
          <t>https://www.ericfavre.com/fr_fr/proteines/whey-zero-chocolat-2kg-p-517-o-1093.htm</t>
        </is>
      </c>
    </row>
    <row r="27">
      <c r="A27">
        <f>'Benchmark détaillé'!AA1</f>
        <v/>
      </c>
      <c r="B27" t="inlineStr">
        <is>
          <t>Iso Fusion Protein Complex 750g</t>
        </is>
      </c>
      <c r="C27">
        <f>'Benchmark détaillé'!AA4</f>
        <v/>
      </c>
      <c r="D27">
        <f>'Benchmark détaillé'!AA10</f>
        <v/>
      </c>
      <c r="E27">
        <f>'Benchmark détaillé'!AA5</f>
        <v/>
      </c>
      <c r="F27">
        <f>'Benchmark détaillé'!AA15</f>
        <v/>
      </c>
      <c r="G27">
        <f>'Benchmark détaillé'!AA13</f>
        <v/>
      </c>
      <c r="H27">
        <f>'Benchmark détaillé'!AA21</f>
        <v/>
      </c>
      <c r="I27">
        <f>'Benchmark détaillé'!AA22</f>
        <v/>
      </c>
      <c r="J27">
        <f>'Benchmark détaillé'!AA23</f>
        <v/>
      </c>
      <c r="K27" s="12">
        <f>IFERROR((H27-I27)/H27*100,"")</f>
        <v/>
      </c>
      <c r="L27" s="12">
        <f>IFERROR((I27-J27)/I27*100,"")</f>
        <v/>
      </c>
      <c r="M27" s="12">
        <f>IFERROR(I27/(E27/1000),"")</f>
        <v/>
      </c>
      <c r="N27" s="12">
        <f>IFERROR(I27/(F27*G27),"")</f>
        <v/>
      </c>
      <c r="O27">
        <f>'Benchmark détaillé'!AA31</f>
        <v/>
      </c>
      <c r="P27">
        <f>'Benchmark détaillé'!AA32</f>
        <v/>
      </c>
      <c r="Q27" s="12">
        <f>IFERROR(VLOOKUP(A27,'Discounts par marque'!$A:$G,4,FALSE),0)</f>
        <v/>
      </c>
      <c r="R27" s="12">
        <f>IFERROR(VLOOKUP(A27,'Discounts par marque'!$A:$G,5,FALSE),0)</f>
        <v/>
      </c>
      <c r="S27" s="12">
        <f>IFERROR(I27*(1-Q27/100),"")</f>
        <v/>
      </c>
      <c r="T27" s="12">
        <f>IFERROR(S27/(F27*G27),"")</f>
        <v/>
      </c>
      <c r="U27" s="12">
        <f>IFERROR(I27*(1-R27/100),"")</f>
        <v/>
      </c>
      <c r="V27" s="12">
        <f>IFERROR(U27/(F27*G27),"")</f>
        <v/>
      </c>
      <c r="W27" t="inlineStr">
        <is>
          <t>https://www.ericfavre.com/fr_fr/proteines/iso-fusion-biscuit-cookie-750g-p-907-o-1924.htm</t>
        </is>
      </c>
    </row>
    <row r="28">
      <c r="A28">
        <f>'Benchmark détaillé'!AB1</f>
        <v/>
      </c>
      <c r="B28" t="inlineStr">
        <is>
          <t>Iso Fusion Protein Complex 2kg</t>
        </is>
      </c>
      <c r="C28">
        <f>'Benchmark détaillé'!AB4</f>
        <v/>
      </c>
      <c r="D28">
        <f>'Benchmark détaillé'!AB10</f>
        <v/>
      </c>
      <c r="E28">
        <f>'Benchmark détaillé'!AB5</f>
        <v/>
      </c>
      <c r="F28">
        <f>'Benchmark détaillé'!AB15</f>
        <v/>
      </c>
      <c r="G28">
        <f>'Benchmark détaillé'!AB13</f>
        <v/>
      </c>
      <c r="H28">
        <f>'Benchmark détaillé'!AB21</f>
        <v/>
      </c>
      <c r="I28">
        <f>'Benchmark détaillé'!AB22</f>
        <v/>
      </c>
      <c r="J28">
        <f>'Benchmark détaillé'!AB23</f>
        <v/>
      </c>
      <c r="K28" s="12">
        <f>IFERROR((H28-I28)/H28*100,"")</f>
        <v/>
      </c>
      <c r="L28" s="12">
        <f>IFERROR((I28-J28)/I28*100,"")</f>
        <v/>
      </c>
      <c r="M28" s="12">
        <f>IFERROR(I28/(E28/1000),"")</f>
        <v/>
      </c>
      <c r="N28" s="12">
        <f>IFERROR(I28/(F28*G28),"")</f>
        <v/>
      </c>
      <c r="O28">
        <f>'Benchmark détaillé'!AB31</f>
        <v/>
      </c>
      <c r="P28">
        <f>'Benchmark détaillé'!AB32</f>
        <v/>
      </c>
      <c r="Q28" s="12">
        <f>IFERROR(VLOOKUP(A28,'Discounts par marque'!$A:$G,4,FALSE),0)</f>
        <v/>
      </c>
      <c r="R28" s="12">
        <f>IFERROR(VLOOKUP(A28,'Discounts par marque'!$A:$G,5,FALSE),0)</f>
        <v/>
      </c>
      <c r="S28" s="12">
        <f>IFERROR(I28*(1-Q28/100),"")</f>
        <v/>
      </c>
      <c r="T28" s="12">
        <f>IFERROR(S28/(F28*G28),"")</f>
        <v/>
      </c>
      <c r="U28" s="12">
        <f>IFERROR(I28*(1-R28/100),"")</f>
        <v/>
      </c>
      <c r="V28" s="12">
        <f>IFERROR(U28/(F28*G28),"")</f>
        <v/>
      </c>
      <c r="W28" t="inlineStr">
        <is>
          <t>https://www.ericfavre.com/fr_fr/proteines/iso-fusion-biscuit-cookie-2kg-p-907-o-1925.htm</t>
        </is>
      </c>
    </row>
    <row r="29">
      <c r="A29">
        <f>'Benchmark détaillé'!AC1</f>
        <v/>
      </c>
      <c r="B29" t="inlineStr">
        <is>
          <t>Pure Isolate 750g</t>
        </is>
      </c>
      <c r="C29">
        <f>'Benchmark détaillé'!AC4</f>
        <v/>
      </c>
      <c r="D29">
        <f>'Benchmark détaillé'!AC10</f>
        <v/>
      </c>
      <c r="E29">
        <f>'Benchmark détaillé'!AC5</f>
        <v/>
      </c>
      <c r="F29">
        <f>'Benchmark détaillé'!AC15</f>
        <v/>
      </c>
      <c r="G29">
        <f>'Benchmark détaillé'!AC13</f>
        <v/>
      </c>
      <c r="H29">
        <f>'Benchmark détaillé'!AC21</f>
        <v/>
      </c>
      <c r="I29">
        <f>'Benchmark détaillé'!AC22</f>
        <v/>
      </c>
      <c r="J29">
        <f>'Benchmark détaillé'!AC23</f>
        <v/>
      </c>
      <c r="K29" s="12">
        <f>IFERROR((H29-I29)/H29*100,"")</f>
        <v/>
      </c>
      <c r="L29" s="12">
        <f>IFERROR((I29-J29)/I29*100,"")</f>
        <v/>
      </c>
      <c r="M29" s="12">
        <f>IFERROR(I29/(E29/1000),"")</f>
        <v/>
      </c>
      <c r="N29" s="12">
        <f>IFERROR(I29/(F29*G29),"")</f>
        <v/>
      </c>
      <c r="O29">
        <f>'Benchmark détaillé'!AC31</f>
        <v/>
      </c>
      <c r="P29">
        <f>'Benchmark détaillé'!AC32</f>
        <v/>
      </c>
      <c r="Q29" s="12">
        <f>IFERROR(VLOOKUP(A29,'Discounts par marque'!$A:$G,4,FALSE),0)</f>
        <v/>
      </c>
      <c r="R29" s="12">
        <f>IFERROR(VLOOKUP(A29,'Discounts par marque'!$A:$G,5,FALSE),0)</f>
        <v/>
      </c>
      <c r="S29" s="12">
        <f>IFERROR(I29*(1-Q29/100),"")</f>
        <v/>
      </c>
      <c r="T29" s="12">
        <f>IFERROR(S29/(F29*G29),"")</f>
        <v/>
      </c>
      <c r="U29" s="12">
        <f>IFERROR(I29*(1-R29/100),"")</f>
        <v/>
      </c>
      <c r="V29" s="12">
        <f>IFERROR(U29/(F29*G29),"")</f>
        <v/>
      </c>
      <c r="W29" t="inlineStr">
        <is>
          <t>https://www.eafit.com/eafit-pure-isolate.html</t>
        </is>
      </c>
    </row>
    <row r="30">
      <c r="A30">
        <f>'Benchmark détaillé'!AD1</f>
        <v/>
      </c>
      <c r="B30" t="inlineStr">
        <is>
          <t>Pure Isolate Premium 750g</t>
        </is>
      </c>
      <c r="C30">
        <f>'Benchmark détaillé'!AD4</f>
        <v/>
      </c>
      <c r="D30">
        <f>'Benchmark détaillé'!AD10</f>
        <v/>
      </c>
      <c r="E30">
        <f>'Benchmark détaillé'!AD5</f>
        <v/>
      </c>
      <c r="F30">
        <f>'Benchmark détaillé'!AD15</f>
        <v/>
      </c>
      <c r="G30">
        <f>'Benchmark détaillé'!AD13</f>
        <v/>
      </c>
      <c r="H30">
        <f>'Benchmark détaillé'!AD21</f>
        <v/>
      </c>
      <c r="I30">
        <f>'Benchmark détaillé'!AD22</f>
        <v/>
      </c>
      <c r="J30">
        <f>'Benchmark détaillé'!AD23</f>
        <v/>
      </c>
      <c r="K30" s="12">
        <f>IFERROR((H30-I30)/H30*100,"")</f>
        <v/>
      </c>
      <c r="L30" s="12">
        <f>IFERROR((I30-J30)/I30*100,"")</f>
        <v/>
      </c>
      <c r="M30" s="12">
        <f>IFERROR(I30/(E30/1000),"")</f>
        <v/>
      </c>
      <c r="N30" s="12">
        <f>IFERROR(I30/(F30*G30),"")</f>
        <v/>
      </c>
      <c r="O30">
        <f>'Benchmark détaillé'!AD31</f>
        <v/>
      </c>
      <c r="P30">
        <f>'Benchmark détaillé'!AD32</f>
        <v/>
      </c>
      <c r="Q30" s="12">
        <f>IFERROR(VLOOKUP(A30,'Discounts par marque'!$A:$G,4,FALSE),0)</f>
        <v/>
      </c>
      <c r="R30" s="12">
        <f>IFERROR(VLOOKUP(A30,'Discounts par marque'!$A:$G,5,FALSE),0)</f>
        <v/>
      </c>
      <c r="S30" s="12">
        <f>IFERROR(I30*(1-Q30/100),"")</f>
        <v/>
      </c>
      <c r="T30" s="12">
        <f>IFERROR(S30/(F30*G30),"")</f>
        <v/>
      </c>
      <c r="U30" s="12">
        <f>IFERROR(I30*(1-R30/100),"")</f>
        <v/>
      </c>
      <c r="V30" s="12">
        <f>IFERROR(U30/(F30*G30),"")</f>
        <v/>
      </c>
      <c r="W30" t="inlineStr">
        <is>
          <t>https://www.eafit.com/eafit-pure-isolate-premium.html</t>
        </is>
      </c>
    </row>
    <row r="31">
      <c r="A31">
        <f>'Benchmark détaillé'!AE1</f>
        <v/>
      </c>
      <c r="B31" t="inlineStr">
        <is>
          <t>Pure Whey Protein 750g</t>
        </is>
      </c>
      <c r="C31">
        <f>'Benchmark détaillé'!AE4</f>
        <v/>
      </c>
      <c r="D31">
        <f>'Benchmark détaillé'!AE10</f>
        <v/>
      </c>
      <c r="E31">
        <f>'Benchmark détaillé'!AE5</f>
        <v/>
      </c>
      <c r="F31">
        <f>'Benchmark détaillé'!AE15</f>
        <v/>
      </c>
      <c r="G31">
        <f>'Benchmark détaillé'!AE13</f>
        <v/>
      </c>
      <c r="H31">
        <f>'Benchmark détaillé'!AE21</f>
        <v/>
      </c>
      <c r="I31">
        <f>'Benchmark détaillé'!AE22</f>
        <v/>
      </c>
      <c r="J31">
        <f>'Benchmark détaillé'!AE23</f>
        <v/>
      </c>
      <c r="K31" s="12">
        <f>IFERROR((H31-I31)/H31*100,"")</f>
        <v/>
      </c>
      <c r="L31" s="12">
        <f>IFERROR((I31-J31)/I31*100,"")</f>
        <v/>
      </c>
      <c r="M31" s="12">
        <f>IFERROR(I31/(E31/1000),"")</f>
        <v/>
      </c>
      <c r="N31" s="12">
        <f>IFERROR(I31/(F31*G31),"")</f>
        <v/>
      </c>
      <c r="O31">
        <f>'Benchmark détaillé'!AE31</f>
        <v/>
      </c>
      <c r="P31">
        <f>'Benchmark détaillé'!AE32</f>
        <v/>
      </c>
      <c r="Q31" s="12">
        <f>IFERROR(VLOOKUP(A31,'Discounts par marque'!$A:$G,4,FALSE),0)</f>
        <v/>
      </c>
      <c r="R31" s="12">
        <f>IFERROR(VLOOKUP(A31,'Discounts par marque'!$A:$G,5,FALSE),0)</f>
        <v/>
      </c>
      <c r="S31" s="12">
        <f>IFERROR(I31*(1-Q31/100),"")</f>
        <v/>
      </c>
      <c r="T31" s="12">
        <f>IFERROR(S31/(F31*G31),"")</f>
        <v/>
      </c>
      <c r="U31" s="12">
        <f>IFERROR(I31*(1-R31/100),"")</f>
        <v/>
      </c>
      <c r="V31" s="12">
        <f>IFERROR(U31/(F31*G31),"")</f>
        <v/>
      </c>
      <c r="W31" t="inlineStr">
        <is>
          <t>https://www.eafit.com/eafit-pure-whey.html</t>
        </is>
      </c>
    </row>
    <row r="32">
      <c r="A32">
        <f>'Benchmark détaillé'!AF1</f>
        <v/>
      </c>
      <c r="B32" t="inlineStr">
        <is>
          <t>Mega Whey Creatine Complex 750g</t>
        </is>
      </c>
      <c r="C32">
        <f>'Benchmark détaillé'!AF4</f>
        <v/>
      </c>
      <c r="D32">
        <f>'Benchmark détaillé'!AF10</f>
        <v/>
      </c>
      <c r="E32">
        <f>'Benchmark détaillé'!AF5</f>
        <v/>
      </c>
      <c r="F32">
        <f>'Benchmark détaillé'!AF15</f>
        <v/>
      </c>
      <c r="G32">
        <f>'Benchmark détaillé'!AF13</f>
        <v/>
      </c>
      <c r="H32">
        <f>'Benchmark détaillé'!AF21</f>
        <v/>
      </c>
      <c r="I32">
        <f>'Benchmark détaillé'!AF22</f>
        <v/>
      </c>
      <c r="J32">
        <f>'Benchmark détaillé'!AF23</f>
        <v/>
      </c>
      <c r="K32" s="12">
        <f>IFERROR((H32-I32)/H32*100,"")</f>
        <v/>
      </c>
      <c r="L32" s="12">
        <f>IFERROR((I32-J32)/I32*100,"")</f>
        <v/>
      </c>
      <c r="M32" s="12">
        <f>IFERROR(I32/(E32/1000),"")</f>
        <v/>
      </c>
      <c r="N32" s="12">
        <f>IFERROR(I32/(F32*G32),"")</f>
        <v/>
      </c>
      <c r="O32">
        <f>'Benchmark détaillé'!AF31</f>
        <v/>
      </c>
      <c r="P32">
        <f>'Benchmark détaillé'!AF32</f>
        <v/>
      </c>
      <c r="Q32" s="12">
        <f>IFERROR(VLOOKUP(A32,'Discounts par marque'!$A:$G,4,FALSE),0)</f>
        <v/>
      </c>
      <c r="R32" s="12">
        <f>IFERROR(VLOOKUP(A32,'Discounts par marque'!$A:$G,5,FALSE),0)</f>
        <v/>
      </c>
      <c r="S32" s="12">
        <f>IFERROR(I32*(1-Q32/100),"")</f>
        <v/>
      </c>
      <c r="T32" s="12">
        <f>IFERROR(S32/(F32*G32),"")</f>
        <v/>
      </c>
      <c r="U32" s="12">
        <f>IFERROR(I32*(1-R32/100),"")</f>
        <v/>
      </c>
      <c r="V32" s="12">
        <f>IFERROR(U32/(F32*G32),"")</f>
        <v/>
      </c>
      <c r="W32" t="inlineStr">
        <is>
          <t>https://www.eafit.com/eafit-megawhey.html</t>
        </is>
      </c>
    </row>
    <row r="33">
      <c r="A33">
        <f>'Benchmark détaillé'!AG1</f>
        <v/>
      </c>
      <c r="B33" t="inlineStr">
        <is>
          <t>Pure Whey Protein 850g</t>
        </is>
      </c>
      <c r="C33">
        <f>'Benchmark détaillé'!AG4</f>
        <v/>
      </c>
      <c r="D33">
        <f>'Benchmark détaillé'!AG10</f>
        <v/>
      </c>
      <c r="E33">
        <f>'Benchmark détaillé'!AG5</f>
        <v/>
      </c>
      <c r="F33">
        <f>'Benchmark détaillé'!AG15</f>
        <v/>
      </c>
      <c r="G33">
        <f>'Benchmark détaillé'!AG13</f>
        <v/>
      </c>
      <c r="H33">
        <f>'Benchmark détaillé'!AG21</f>
        <v/>
      </c>
      <c r="I33">
        <f>'Benchmark détaillé'!AG22</f>
        <v/>
      </c>
      <c r="J33">
        <f>'Benchmark détaillé'!AG23</f>
        <v/>
      </c>
      <c r="K33" s="12">
        <f>IFERROR((H33-I33)/H33*100,"")</f>
        <v/>
      </c>
      <c r="L33" s="12">
        <f>IFERROR((I33-J33)/I33*100,"")</f>
        <v/>
      </c>
      <c r="M33" s="12">
        <f>IFERROR(I33/(E33/1000),"")</f>
        <v/>
      </c>
      <c r="N33" s="12">
        <f>IFERROR(I33/(F33*G33),"")</f>
        <v/>
      </c>
      <c r="O33">
        <f>'Benchmark détaillé'!AG31</f>
        <v/>
      </c>
      <c r="P33">
        <f>'Benchmark détaillé'!AG32</f>
        <v/>
      </c>
      <c r="Q33" s="12">
        <f>IFERROR(VLOOKUP(A33,'Discounts par marque'!$A:$G,4,FALSE),0)</f>
        <v/>
      </c>
      <c r="R33" s="12">
        <f>IFERROR(VLOOKUP(A33,'Discounts par marque'!$A:$G,5,FALSE),0)</f>
        <v/>
      </c>
      <c r="S33" s="12">
        <f>IFERROR(I33*(1-Q33/100),"")</f>
        <v/>
      </c>
      <c r="T33" s="12">
        <f>IFERROR(S33/(F33*G33),"")</f>
        <v/>
      </c>
      <c r="U33" s="12">
        <f>IFERROR(I33*(1-R33/100),"")</f>
        <v/>
      </c>
      <c r="V33" s="12">
        <f>IFERROR(U33/(F33*G33),"")</f>
        <v/>
      </c>
      <c r="W33" t="inlineStr">
        <is>
          <t>https://www.eafit.com/eafit-pure-whey.html</t>
        </is>
      </c>
    </row>
    <row r="34">
      <c r="A34">
        <f>'Benchmark détaillé'!AH1</f>
        <v/>
      </c>
      <c r="B34" t="inlineStr">
        <is>
          <t>Pure Whey Protein 2.2kg</t>
        </is>
      </c>
      <c r="C34">
        <f>'Benchmark détaillé'!AH4</f>
        <v/>
      </c>
      <c r="D34">
        <f>'Benchmark détaillé'!AH10</f>
        <v/>
      </c>
      <c r="E34">
        <f>'Benchmark détaillé'!AH5</f>
        <v/>
      </c>
      <c r="F34">
        <f>'Benchmark détaillé'!AH15</f>
        <v/>
      </c>
      <c r="G34">
        <f>'Benchmark détaillé'!AH13</f>
        <v/>
      </c>
      <c r="H34">
        <f>'Benchmark détaillé'!AH21</f>
        <v/>
      </c>
      <c r="I34">
        <f>'Benchmark détaillé'!AH22</f>
        <v/>
      </c>
      <c r="J34">
        <f>'Benchmark détaillé'!AH23</f>
        <v/>
      </c>
      <c r="K34" s="12">
        <f>IFERROR((H34-I34)/H34*100,"")</f>
        <v/>
      </c>
      <c r="L34" s="12">
        <f>IFERROR((I34-J34)/I34*100,"")</f>
        <v/>
      </c>
      <c r="M34" s="12">
        <f>IFERROR(I34/(E34/1000),"")</f>
        <v/>
      </c>
      <c r="N34" s="12">
        <f>IFERROR(I34/(F34*G34),"")</f>
        <v/>
      </c>
      <c r="O34">
        <f>'Benchmark détaillé'!AH31</f>
        <v/>
      </c>
      <c r="P34">
        <f>'Benchmark détaillé'!AH32</f>
        <v/>
      </c>
      <c r="Q34" s="12">
        <f>IFERROR(VLOOKUP(A34,'Discounts par marque'!$A:$G,4,FALSE),0)</f>
        <v/>
      </c>
      <c r="R34" s="12">
        <f>IFERROR(VLOOKUP(A34,'Discounts par marque'!$A:$G,5,FALSE),0)</f>
        <v/>
      </c>
      <c r="S34" s="12">
        <f>IFERROR(I34*(1-Q34/100),"")</f>
        <v/>
      </c>
      <c r="T34" s="12">
        <f>IFERROR(S34/(F34*G34),"")</f>
        <v/>
      </c>
      <c r="U34" s="12">
        <f>IFERROR(I34*(1-R34/100),"")</f>
        <v/>
      </c>
      <c r="V34" s="12">
        <f>IFERROR(U34/(F34*G34),"")</f>
        <v/>
      </c>
      <c r="W34" t="inlineStr">
        <is>
          <t>https://www.eafit.com/eafit-pure-whey.html</t>
        </is>
      </c>
    </row>
    <row r="35">
      <c r="A35">
        <f>'Benchmark détaillé'!AI1</f>
        <v/>
      </c>
      <c r="B35" t="inlineStr">
        <is>
          <t>Pure Whey 100% Isolate 900g</t>
        </is>
      </c>
      <c r="C35">
        <f>'Benchmark détaillé'!AI4</f>
        <v/>
      </c>
      <c r="D35">
        <f>'Benchmark détaillé'!AI10</f>
        <v/>
      </c>
      <c r="E35">
        <f>'Benchmark détaillé'!AI5</f>
        <v/>
      </c>
      <c r="F35">
        <f>'Benchmark détaillé'!AI15</f>
        <v/>
      </c>
      <c r="G35">
        <f>'Benchmark détaillé'!AI13</f>
        <v/>
      </c>
      <c r="H35">
        <f>'Benchmark détaillé'!AI21</f>
        <v/>
      </c>
      <c r="I35">
        <f>'Benchmark détaillé'!AI22</f>
        <v/>
      </c>
      <c r="J35">
        <f>'Benchmark détaillé'!AI23</f>
        <v/>
      </c>
      <c r="K35" s="12">
        <f>IFERROR((H35-I35)/H35*100,"")</f>
        <v/>
      </c>
      <c r="L35" s="12">
        <f>IFERROR((I35-J35)/I35*100,"")</f>
        <v/>
      </c>
      <c r="M35" s="12">
        <f>IFERROR(I35/(E35/1000),"")</f>
        <v/>
      </c>
      <c r="N35" s="12">
        <f>IFERROR(I35/(F35*G35),"")</f>
        <v/>
      </c>
      <c r="O35">
        <f>'Benchmark détaillé'!AI31</f>
        <v/>
      </c>
      <c r="P35">
        <f>'Benchmark détaillé'!AI32</f>
        <v/>
      </c>
      <c r="Q35" s="12">
        <f>IFERROR(VLOOKUP(A35,'Discounts par marque'!$A:$G,4,FALSE),0)</f>
        <v/>
      </c>
      <c r="R35" s="12">
        <f>IFERROR(VLOOKUP(A35,'Discounts par marque'!$A:$G,5,FALSE),0)</f>
        <v/>
      </c>
      <c r="S35" s="12">
        <f>IFERROR(I35*(1-Q35/100),"")</f>
        <v/>
      </c>
      <c r="T35" s="12">
        <f>IFERROR(S35/(F35*G35),"")</f>
        <v/>
      </c>
      <c r="U35" s="12">
        <f>IFERROR(I35*(1-R35/100),"")</f>
        <v/>
      </c>
      <c r="V35" s="12">
        <f>IFERROR(U35/(F35*G35),"")</f>
        <v/>
      </c>
      <c r="W35" t="inlineStr">
        <is>
          <t>https://www.decathlon.fr/p/mp/corength/whey-isolate-chocolat/_/R-p-336438</t>
        </is>
      </c>
    </row>
    <row r="36">
      <c r="A36">
        <f>'Benchmark détaillé'!AJ1</f>
        <v/>
      </c>
      <c r="B36" t="inlineStr">
        <is>
          <t>Whey Protein 900g (Concentrat)</t>
        </is>
      </c>
      <c r="C36">
        <f>'Benchmark détaillé'!AJ4</f>
        <v/>
      </c>
      <c r="D36">
        <f>'Benchmark détaillé'!AJ10</f>
        <v/>
      </c>
      <c r="E36">
        <f>'Benchmark détaillé'!AJ5</f>
        <v/>
      </c>
      <c r="F36">
        <f>'Benchmark détaillé'!AJ15</f>
        <v/>
      </c>
      <c r="G36">
        <f>'Benchmark détaillé'!AJ13</f>
        <v/>
      </c>
      <c r="H36">
        <f>'Benchmark détaillé'!AJ21</f>
        <v/>
      </c>
      <c r="I36">
        <f>'Benchmark détaillé'!AJ22</f>
        <v/>
      </c>
      <c r="J36">
        <f>'Benchmark détaillé'!AJ23</f>
        <v/>
      </c>
      <c r="K36" s="12">
        <f>IFERROR((H36-I36)/H36*100,"")</f>
        <v/>
      </c>
      <c r="L36" s="12">
        <f>IFERROR((I36-J36)/I36*100,"")</f>
        <v/>
      </c>
      <c r="M36" s="12">
        <f>IFERROR(I36/(E36/1000),"")</f>
        <v/>
      </c>
      <c r="N36" s="12">
        <f>IFERROR(I36/(F36*G36),"")</f>
        <v/>
      </c>
      <c r="O36">
        <f>'Benchmark détaillé'!AJ31</f>
        <v/>
      </c>
      <c r="P36">
        <f>'Benchmark détaillé'!AJ32</f>
        <v/>
      </c>
      <c r="Q36" s="12">
        <f>IFERROR(VLOOKUP(A36,'Discounts par marque'!$A:$G,4,FALSE),0)</f>
        <v/>
      </c>
      <c r="R36" s="12">
        <f>IFERROR(VLOOKUP(A36,'Discounts par marque'!$A:$G,5,FALSE),0)</f>
        <v/>
      </c>
      <c r="S36" s="12">
        <f>IFERROR(I36*(1-Q36/100),"")</f>
        <v/>
      </c>
      <c r="T36" s="12">
        <f>IFERROR(S36/(F36*G36),"")</f>
        <v/>
      </c>
      <c r="U36" s="12">
        <f>IFERROR(I36*(1-R36/100),"")</f>
        <v/>
      </c>
      <c r="V36" s="12">
        <f>IFERROR(U36/(F36*G36),"")</f>
        <v/>
      </c>
      <c r="W36" t="inlineStr">
        <is>
          <t>https://www.decathlon.fr/p/mp/corength/whey-chocolat-corength/_/R-p-336437</t>
        </is>
      </c>
    </row>
    <row r="37">
      <c r="A37">
        <f>'Benchmark détaillé'!AK1</f>
        <v/>
      </c>
      <c r="B37" t="inlineStr">
        <is>
          <t>Pure Whey Isolate 1kg</t>
        </is>
      </c>
      <c r="C37">
        <f>'Benchmark détaillé'!AK4</f>
        <v/>
      </c>
      <c r="D37">
        <f>'Benchmark détaillé'!AK10</f>
        <v/>
      </c>
      <c r="E37">
        <f>'Benchmark détaillé'!AK5</f>
        <v/>
      </c>
      <c r="F37">
        <f>'Benchmark détaillé'!AK15</f>
        <v/>
      </c>
      <c r="G37">
        <f>'Benchmark détaillé'!AK13</f>
        <v/>
      </c>
      <c r="H37">
        <f>'Benchmark détaillé'!AK21</f>
        <v/>
      </c>
      <c r="I37">
        <f>'Benchmark détaillé'!AK22</f>
        <v/>
      </c>
      <c r="J37">
        <f>'Benchmark détaillé'!AK23</f>
        <v/>
      </c>
      <c r="K37" s="12">
        <f>IFERROR((H37-I37)/H37*100,"")</f>
        <v/>
      </c>
      <c r="L37" s="12">
        <f>IFERROR((I37-J37)/I37*100,"")</f>
        <v/>
      </c>
      <c r="M37" s="12">
        <f>IFERROR(I37/(E37/1000),"")</f>
        <v/>
      </c>
      <c r="N37" s="12">
        <f>IFERROR(I37/(F37*G37),"")</f>
        <v/>
      </c>
      <c r="O37">
        <f>'Benchmark détaillé'!AK31</f>
        <v/>
      </c>
      <c r="P37">
        <f>'Benchmark détaillé'!AK32</f>
        <v/>
      </c>
      <c r="Q37" s="12">
        <f>IFERROR(VLOOKUP(A37,'Discounts par marque'!$A:$G,4,FALSE),0)</f>
        <v/>
      </c>
      <c r="R37" s="12">
        <f>IFERROR(VLOOKUP(A37,'Discounts par marque'!$A:$G,5,FALSE),0)</f>
        <v/>
      </c>
      <c r="S37" s="12">
        <f>IFERROR(I37*(1-Q37/100),"")</f>
        <v/>
      </c>
      <c r="T37" s="12">
        <f>IFERROR(S37/(F37*G37),"")</f>
        <v/>
      </c>
      <c r="U37" s="12">
        <f>IFERROR(I37*(1-R37/100),"")</f>
        <v/>
      </c>
      <c r="V37" s="12">
        <f>IFERROR(U37/(F37*G37),"")</f>
        <v/>
      </c>
      <c r="W37" t="inlineStr">
        <is>
          <t>https://www.bulk.com/fr/pure-whey-isolate-90.html</t>
        </is>
      </c>
      <c r="X37" t="inlineStr">
        <is>
          <t>Catalogue fictif majeur: 69.99€ barré vs 44.99€ réel (-36%)</t>
        </is>
      </c>
    </row>
    <row r="38">
      <c r="A38">
        <f>'Benchmark détaillé'!AL1</f>
        <v/>
      </c>
      <c r="B38" t="inlineStr">
        <is>
          <t>Pure Whey Isolate 2,5kg</t>
        </is>
      </c>
      <c r="C38">
        <f>'Benchmark détaillé'!AL4</f>
        <v/>
      </c>
      <c r="D38">
        <f>'Benchmark détaillé'!AL10</f>
        <v/>
      </c>
      <c r="E38">
        <f>'Benchmark détaillé'!AL5</f>
        <v/>
      </c>
      <c r="F38">
        <f>'Benchmark détaillé'!AL15</f>
        <v/>
      </c>
      <c r="G38">
        <f>'Benchmark détaillé'!AL13</f>
        <v/>
      </c>
      <c r="H38">
        <f>'Benchmark détaillé'!AL21</f>
        <v/>
      </c>
      <c r="I38">
        <f>'Benchmark détaillé'!AL22</f>
        <v/>
      </c>
      <c r="J38">
        <f>'Benchmark détaillé'!AL23</f>
        <v/>
      </c>
      <c r="K38" s="12">
        <f>IFERROR((H38-I38)/H38*100,"")</f>
        <v/>
      </c>
      <c r="L38" s="12">
        <f>IFERROR((I38-J38)/I38*100,"")</f>
        <v/>
      </c>
      <c r="M38" s="12">
        <f>IFERROR(I38/(E38/1000),"")</f>
        <v/>
      </c>
      <c r="N38" s="12">
        <f>IFERROR(I38/(F38*G38),"")</f>
        <v/>
      </c>
      <c r="O38">
        <f>'Benchmark détaillé'!AL31</f>
        <v/>
      </c>
      <c r="P38">
        <f>'Benchmark détaillé'!AL32</f>
        <v/>
      </c>
      <c r="Q38" s="12">
        <f>IFERROR(VLOOKUP(A38,'Discounts par marque'!$A:$G,4,FALSE),0)</f>
        <v/>
      </c>
      <c r="R38" s="12">
        <f>IFERROR(VLOOKUP(A38,'Discounts par marque'!$A:$G,5,FALSE),0)</f>
        <v/>
      </c>
      <c r="S38" s="12">
        <f>IFERROR(I38*(1-Q38/100),"")</f>
        <v/>
      </c>
      <c r="T38" s="12">
        <f>IFERROR(S38/(F38*G38),"")</f>
        <v/>
      </c>
      <c r="U38" s="12">
        <f>IFERROR(I38*(1-R38/100),"")</f>
        <v/>
      </c>
      <c r="V38" s="12">
        <f>IFERROR(U38/(F38*G38),"")</f>
        <v/>
      </c>
      <c r="W38" t="inlineStr">
        <is>
          <t>https://www.bulk.com/fr/pure-whey-isolate-90.html</t>
        </is>
      </c>
      <c r="X38" t="inlineStr">
        <is>
          <t>Catalogue fictif fort: 159.99€ vs 99.99€ réel (-37%)</t>
        </is>
      </c>
    </row>
    <row r="39">
      <c r="A39">
        <f>'Benchmark détaillé'!AM1</f>
        <v/>
      </c>
      <c r="B39" t="inlineStr">
        <is>
          <t>Pure Whey Protein 1kg</t>
        </is>
      </c>
      <c r="C39">
        <f>'Benchmark détaillé'!AM4</f>
        <v/>
      </c>
      <c r="D39">
        <f>'Benchmark détaillé'!AM10</f>
        <v/>
      </c>
      <c r="E39">
        <f>'Benchmark détaillé'!AM5</f>
        <v/>
      </c>
      <c r="F39">
        <f>'Benchmark détaillé'!AM15</f>
        <v/>
      </c>
      <c r="G39">
        <f>'Benchmark détaillé'!AM13</f>
        <v/>
      </c>
      <c r="H39">
        <f>'Benchmark détaillé'!AM21</f>
        <v/>
      </c>
      <c r="I39">
        <f>'Benchmark détaillé'!AM22</f>
        <v/>
      </c>
      <c r="J39">
        <f>'Benchmark détaillé'!AM23</f>
        <v/>
      </c>
      <c r="K39" s="12">
        <f>IFERROR((H39-I39)/H39*100,"")</f>
        <v/>
      </c>
      <c r="L39" s="12">
        <f>IFERROR((I39-J39)/I39*100,"")</f>
        <v/>
      </c>
      <c r="M39" s="12">
        <f>IFERROR(I39/(E39/1000),"")</f>
        <v/>
      </c>
      <c r="N39" s="12">
        <f>IFERROR(I39/(F39*G39),"")</f>
        <v/>
      </c>
      <c r="O39">
        <f>'Benchmark détaillé'!AM31</f>
        <v/>
      </c>
      <c r="P39">
        <f>'Benchmark détaillé'!AM32</f>
        <v/>
      </c>
      <c r="Q39" s="12">
        <f>IFERROR(VLOOKUP(A39,'Discounts par marque'!$A:$G,4,FALSE),0)</f>
        <v/>
      </c>
      <c r="R39" s="12">
        <f>IFERROR(VLOOKUP(A39,'Discounts par marque'!$A:$G,5,FALSE),0)</f>
        <v/>
      </c>
      <c r="S39" s="12">
        <f>IFERROR(I39*(1-Q39/100),"")</f>
        <v/>
      </c>
      <c r="T39" s="12">
        <f>IFERROR(S39/(F39*G39),"")</f>
        <v/>
      </c>
      <c r="U39" s="12">
        <f>IFERROR(I39*(1-R39/100),"")</f>
        <v/>
      </c>
      <c r="V39" s="12">
        <f>IFERROR(U39/(F39*G39),"")</f>
        <v/>
      </c>
      <c r="W39" t="inlineStr">
        <is>
          <t>https://www.bulk.com/fr/pure-whey-protein-1.html</t>
        </is>
      </c>
      <c r="X39" t="inlineStr">
        <is>
          <t>Catalogue partiellement fictif: barré 37.99€ vs current 27.99€ vs marché 23.99€</t>
        </is>
      </c>
    </row>
    <row r="40">
      <c r="A40">
        <f>'Benchmark détaillé'!AN1</f>
        <v/>
      </c>
      <c r="B40" t="inlineStr">
        <is>
          <t>Pure Whey Protein 2,5kg</t>
        </is>
      </c>
      <c r="C40">
        <f>'Benchmark détaillé'!AN4</f>
        <v/>
      </c>
      <c r="D40">
        <f>'Benchmark détaillé'!AN10</f>
        <v/>
      </c>
      <c r="E40">
        <f>'Benchmark détaillé'!AN5</f>
        <v/>
      </c>
      <c r="F40">
        <f>'Benchmark détaillé'!AN15</f>
        <v/>
      </c>
      <c r="G40">
        <f>'Benchmark détaillé'!AN13</f>
        <v/>
      </c>
      <c r="H40">
        <f>'Benchmark détaillé'!AN21</f>
        <v/>
      </c>
      <c r="I40">
        <f>'Benchmark détaillé'!AN22</f>
        <v/>
      </c>
      <c r="J40">
        <f>'Benchmark détaillé'!AN23</f>
        <v/>
      </c>
      <c r="K40" s="12">
        <f>IFERROR((H40-I40)/H40*100,"")</f>
        <v/>
      </c>
      <c r="L40" s="12">
        <f>IFERROR((I40-J40)/I40*100,"")</f>
        <v/>
      </c>
      <c r="M40" s="12">
        <f>IFERROR(I40/(E40/1000),"")</f>
        <v/>
      </c>
      <c r="N40" s="12">
        <f>IFERROR(I40/(F40*G40),"")</f>
        <v/>
      </c>
      <c r="O40">
        <f>'Benchmark détaillé'!AN31</f>
        <v/>
      </c>
      <c r="P40">
        <f>'Benchmark détaillé'!AN32</f>
        <v/>
      </c>
      <c r="Q40" s="12">
        <f>IFERROR(VLOOKUP(A40,'Discounts par marque'!$A:$G,4,FALSE),0)</f>
        <v/>
      </c>
      <c r="R40" s="12">
        <f>IFERROR(VLOOKUP(A40,'Discounts par marque'!$A:$G,5,FALSE),0)</f>
        <v/>
      </c>
      <c r="S40" s="12">
        <f>IFERROR(I40*(1-Q40/100),"")</f>
        <v/>
      </c>
      <c r="T40" s="12">
        <f>IFERROR(S40/(F40*G40),"")</f>
        <v/>
      </c>
      <c r="U40" s="12">
        <f>IFERROR(I40*(1-R40/100),"")</f>
        <v/>
      </c>
      <c r="V40" s="12">
        <f>IFERROR(U40/(F40*G40),"")</f>
        <v/>
      </c>
      <c r="W40" t="inlineStr">
        <is>
          <t>https://www.bulk.com/fr/pure-whey-protein-1.html</t>
        </is>
      </c>
      <c r="X40" t="inlineStr">
        <is>
          <t>Catalogue fictif: 84.99€ barré vs 64.99€ réel (-23%)</t>
        </is>
      </c>
    </row>
    <row r="41">
      <c r="A41">
        <f>'Benchmark détaillé'!AO1</f>
        <v/>
      </c>
      <c r="B41" t="inlineStr">
        <is>
          <t>Pure Whey Protein 5kg</t>
        </is>
      </c>
      <c r="C41">
        <f>'Benchmark détaillé'!AO4</f>
        <v/>
      </c>
      <c r="D41">
        <f>'Benchmark détaillé'!AO10</f>
        <v/>
      </c>
      <c r="E41">
        <f>'Benchmark détaillé'!AO5</f>
        <v/>
      </c>
      <c r="F41">
        <f>'Benchmark détaillé'!AO15</f>
        <v/>
      </c>
      <c r="G41">
        <f>'Benchmark détaillé'!AO13</f>
        <v/>
      </c>
      <c r="H41">
        <f>'Benchmark détaillé'!AO21</f>
        <v/>
      </c>
      <c r="I41">
        <f>'Benchmark détaillé'!AO22</f>
        <v/>
      </c>
      <c r="J41">
        <f>'Benchmark détaillé'!AO23</f>
        <v/>
      </c>
      <c r="K41" s="12">
        <f>IFERROR((H41-I41)/H41*100,"")</f>
        <v/>
      </c>
      <c r="L41" s="12">
        <f>IFERROR((I41-J41)/I41*100,"")</f>
        <v/>
      </c>
      <c r="M41" s="12">
        <f>IFERROR(I41/(E41/1000),"")</f>
        <v/>
      </c>
      <c r="N41" s="12">
        <f>IFERROR(I41/(F41*G41),"")</f>
        <v/>
      </c>
      <c r="O41">
        <f>'Benchmark détaillé'!AO31</f>
        <v/>
      </c>
      <c r="P41">
        <f>'Benchmark détaillé'!AO32</f>
        <v/>
      </c>
      <c r="Q41" s="12">
        <f>IFERROR(VLOOKUP(A41,'Discounts par marque'!$A:$G,4,FALSE),0)</f>
        <v/>
      </c>
      <c r="R41" s="12">
        <f>IFERROR(VLOOKUP(A41,'Discounts par marque'!$A:$G,5,FALSE),0)</f>
        <v/>
      </c>
      <c r="S41" s="12">
        <f>IFERROR(I41*(1-Q41/100),"")</f>
        <v/>
      </c>
      <c r="T41" s="12">
        <f>IFERROR(S41/(F41*G41),"")</f>
        <v/>
      </c>
      <c r="U41" s="12">
        <f>IFERROR(I41*(1-R41/100),"")</f>
        <v/>
      </c>
      <c r="V41" s="12">
        <f>IFERROR(U41/(F41*G41),"")</f>
        <v/>
      </c>
      <c r="W41" t="inlineStr">
        <is>
          <t>https://www.bulk.com/fr/pure-whey-protein-1.html</t>
        </is>
      </c>
      <c r="X41" t="inlineStr">
        <is>
          <t>Catalogue fictif: 159.99€ vs 129.99€ payé (-19%)</t>
        </is>
      </c>
    </row>
    <row r="42">
      <c r="A42">
        <f>'Benchmark détaillé'!AP1</f>
        <v/>
      </c>
      <c r="B42" t="inlineStr">
        <is>
          <t>Clear Whey Isolate 500g</t>
        </is>
      </c>
      <c r="C42">
        <f>'Benchmark détaillé'!AP4</f>
        <v/>
      </c>
      <c r="D42">
        <f>'Benchmark détaillé'!AP10</f>
        <v/>
      </c>
      <c r="E42">
        <f>'Benchmark détaillé'!AP5</f>
        <v/>
      </c>
      <c r="F42">
        <f>'Benchmark détaillé'!AP15</f>
        <v/>
      </c>
      <c r="G42">
        <f>'Benchmark détaillé'!AP13</f>
        <v/>
      </c>
      <c r="H42">
        <f>'Benchmark détaillé'!AP21</f>
        <v/>
      </c>
      <c r="I42">
        <f>'Benchmark détaillé'!AP22</f>
        <v/>
      </c>
      <c r="J42">
        <f>'Benchmark détaillé'!AP23</f>
        <v/>
      </c>
      <c r="K42" s="12">
        <f>IFERROR((H42-I42)/H42*100,"")</f>
        <v/>
      </c>
      <c r="L42" s="12">
        <f>IFERROR((I42-J42)/I42*100,"")</f>
        <v/>
      </c>
      <c r="M42" s="12">
        <f>IFERROR(I42/(E42/1000),"")</f>
        <v/>
      </c>
      <c r="N42" s="12">
        <f>IFERROR(I42/(F42*G42),"")</f>
        <v/>
      </c>
      <c r="O42">
        <f>'Benchmark détaillé'!AP31</f>
        <v/>
      </c>
      <c r="P42">
        <f>'Benchmark détaillé'!AP32</f>
        <v/>
      </c>
      <c r="Q42" s="12">
        <f>IFERROR(VLOOKUP(A42,'Discounts par marque'!$A:$G,4,FALSE),0)</f>
        <v/>
      </c>
      <c r="R42" s="12">
        <f>IFERROR(VLOOKUP(A42,'Discounts par marque'!$A:$G,5,FALSE),0)</f>
        <v/>
      </c>
      <c r="S42" s="12">
        <f>IFERROR(I42*(1-Q42/100),"")</f>
        <v/>
      </c>
      <c r="T42" s="12">
        <f>IFERROR(S42/(F42*G42),"")</f>
        <v/>
      </c>
      <c r="U42" s="12">
        <f>IFERROR(I42*(1-R42/100),"")</f>
        <v/>
      </c>
      <c r="V42" s="12">
        <f>IFERROR(U42/(F42*G42),"")</f>
        <v/>
      </c>
      <c r="W42" t="inlineStr">
        <is>
          <t>https://www.bulk.com/fr/clear-whey-isolate.html</t>
        </is>
      </c>
      <c r="X42" t="inlineStr">
        <is>
          <t>Catalogue 31.49€ barré vs 25.99€ payé (-17%). Marché 22.25€</t>
        </is>
      </c>
    </row>
    <row r="43">
      <c r="A43">
        <f>'Benchmark détaillé'!AQ1</f>
        <v/>
      </c>
      <c r="B43" t="inlineStr">
        <is>
          <t>Impact Whey Isolate 1kg</t>
        </is>
      </c>
      <c r="C43">
        <f>'Benchmark détaillé'!AQ4</f>
        <v/>
      </c>
      <c r="D43">
        <f>'Benchmark détaillé'!AQ10</f>
        <v/>
      </c>
      <c r="E43">
        <f>'Benchmark détaillé'!AQ5</f>
        <v/>
      </c>
      <c r="F43">
        <f>'Benchmark détaillé'!AQ15</f>
        <v/>
      </c>
      <c r="G43">
        <f>'Benchmark détaillé'!AQ13</f>
        <v/>
      </c>
      <c r="H43">
        <f>'Benchmark détaillé'!AQ21</f>
        <v/>
      </c>
      <c r="I43">
        <f>'Benchmark détaillé'!AQ22</f>
        <v/>
      </c>
      <c r="J43">
        <f>'Benchmark détaillé'!AQ23</f>
        <v/>
      </c>
      <c r="K43" s="12">
        <f>IFERROR((H43-I43)/H43*100,"")</f>
        <v/>
      </c>
      <c r="L43" s="12">
        <f>IFERROR((I43-J43)/I43*100,"")</f>
        <v/>
      </c>
      <c r="M43" s="12">
        <f>IFERROR(I43/(E43/1000),"")</f>
        <v/>
      </c>
      <c r="N43" s="12">
        <f>IFERROR(I43/(F43*G43),"")</f>
        <v/>
      </c>
      <c r="O43">
        <f>'Benchmark détaillé'!AQ31</f>
        <v/>
      </c>
      <c r="P43">
        <f>'Benchmark détaillé'!AQ32</f>
        <v/>
      </c>
      <c r="Q43" s="12">
        <f>IFERROR(VLOOKUP(A43,'Discounts par marque'!$A:$G,4,FALSE),0)</f>
        <v/>
      </c>
      <c r="R43" s="12">
        <f>IFERROR(VLOOKUP(A43,'Discounts par marque'!$A:$G,5,FALSE),0)</f>
        <v/>
      </c>
      <c r="S43" s="12">
        <f>IFERROR(I43*(1-Q43/100),"")</f>
        <v/>
      </c>
      <c r="T43" s="12">
        <f>IFERROR(S43/(F43*G43),"")</f>
        <v/>
      </c>
      <c r="U43" s="12">
        <f>IFERROR(I43*(1-R43/100),"")</f>
        <v/>
      </c>
      <c r="V43" s="12">
        <f>IFERROR(U43/(F43*G43),"")</f>
        <v/>
      </c>
      <c r="W43" t="inlineStr">
        <is>
          <t>https://fr.myprotein.com/p/nutrition-sportive/impact-whey-isolate/10852482/</t>
        </is>
      </c>
      <c r="X43" t="inlineStr">
        <is>
          <t>Isolate EXCLU de la promo -30% MyProtein. Prix current = prix nominal (pas de discount automatique). Revert de l'ancienne estimation ×0.7.</t>
        </is>
      </c>
    </row>
    <row r="44">
      <c r="A44">
        <f>'Benchmark détaillé'!AR1</f>
        <v/>
      </c>
      <c r="B44" t="inlineStr">
        <is>
          <t>Impact Whey Isolate 2,5kg</t>
        </is>
      </c>
      <c r="C44">
        <f>'Benchmark détaillé'!AR4</f>
        <v/>
      </c>
      <c r="D44">
        <f>'Benchmark détaillé'!AR10</f>
        <v/>
      </c>
      <c r="E44">
        <f>'Benchmark détaillé'!AR5</f>
        <v/>
      </c>
      <c r="F44">
        <f>'Benchmark détaillé'!AR15</f>
        <v/>
      </c>
      <c r="G44">
        <f>'Benchmark détaillé'!AR13</f>
        <v/>
      </c>
      <c r="H44">
        <f>'Benchmark détaillé'!AR21</f>
        <v/>
      </c>
      <c r="I44">
        <f>'Benchmark détaillé'!AR22</f>
        <v/>
      </c>
      <c r="J44">
        <f>'Benchmark détaillé'!AR23</f>
        <v/>
      </c>
      <c r="K44" s="12">
        <f>IFERROR((H44-I44)/H44*100,"")</f>
        <v/>
      </c>
      <c r="L44" s="12">
        <f>IFERROR((I44-J44)/I44*100,"")</f>
        <v/>
      </c>
      <c r="M44" s="12">
        <f>IFERROR(I44/(E44/1000),"")</f>
        <v/>
      </c>
      <c r="N44" s="12">
        <f>IFERROR(I44/(F44*G44),"")</f>
        <v/>
      </c>
      <c r="O44">
        <f>'Benchmark détaillé'!AR31</f>
        <v/>
      </c>
      <c r="P44">
        <f>'Benchmark détaillé'!AR32</f>
        <v/>
      </c>
      <c r="Q44" s="12">
        <f>IFERROR(VLOOKUP(A44,'Discounts par marque'!$A:$G,4,FALSE),0)</f>
        <v/>
      </c>
      <c r="R44" s="12">
        <f>IFERROR(VLOOKUP(A44,'Discounts par marque'!$A:$G,5,FALSE),0)</f>
        <v/>
      </c>
      <c r="S44" s="12">
        <f>IFERROR(I44*(1-Q44/100),"")</f>
        <v/>
      </c>
      <c r="T44" s="12">
        <f>IFERROR(S44/(F44*G44),"")</f>
        <v/>
      </c>
      <c r="U44" s="12">
        <f>IFERROR(I44*(1-R44/100),"")</f>
        <v/>
      </c>
      <c r="V44" s="12">
        <f>IFERROR(U44/(F44*G44),"")</f>
        <v/>
      </c>
      <c r="W44" t="inlineStr">
        <is>
          <t>https://fr.myprotein.com/p/nutrition-sportive/impact-whey-isolate-framboise-poche-2.5-kg/10530927/</t>
        </is>
      </c>
      <c r="X44" t="inlineStr">
        <is>
          <t>Confirmé via variant Framboise 2.5kg (10530927) : 124.99€ affiché sans strikethrough. Isolate exclu de la promo -30%.</t>
        </is>
      </c>
    </row>
    <row r="45">
      <c r="A45">
        <f>'Benchmark détaillé'!AS1</f>
        <v/>
      </c>
      <c r="B45" t="inlineStr">
        <is>
          <t>Impact Whey Protein 1kg</t>
        </is>
      </c>
      <c r="C45">
        <f>'Benchmark détaillé'!AS4</f>
        <v/>
      </c>
      <c r="D45">
        <f>'Benchmark détaillé'!AS10</f>
        <v/>
      </c>
      <c r="E45">
        <f>'Benchmark détaillé'!AS5</f>
        <v/>
      </c>
      <c r="F45">
        <f>'Benchmark détaillé'!AS15</f>
        <v/>
      </c>
      <c r="G45">
        <f>'Benchmark détaillé'!AS13</f>
        <v/>
      </c>
      <c r="H45">
        <f>'Benchmark détaillé'!AS21</f>
        <v/>
      </c>
      <c r="I45">
        <f>'Benchmark détaillé'!AS22</f>
        <v/>
      </c>
      <c r="J45">
        <f>'Benchmark détaillé'!AS23</f>
        <v/>
      </c>
      <c r="K45" s="12">
        <f>IFERROR((H45-I45)/H45*100,"")</f>
        <v/>
      </c>
      <c r="L45" s="12">
        <f>IFERROR((I45-J45)/I45*100,"")</f>
        <v/>
      </c>
      <c r="M45" s="12">
        <f>IFERROR(I45/(E45/1000),"")</f>
        <v/>
      </c>
      <c r="N45" s="12">
        <f>IFERROR(I45/(F45*G45),"")</f>
        <v/>
      </c>
      <c r="O45">
        <f>'Benchmark détaillé'!AS31</f>
        <v/>
      </c>
      <c r="P45">
        <f>'Benchmark détaillé'!AS32</f>
        <v/>
      </c>
      <c r="Q45" s="12">
        <f>IFERROR(VLOOKUP(A45,'Discounts par marque'!$A:$G,4,FALSE),0)</f>
        <v/>
      </c>
      <c r="R45" s="12">
        <f>IFERROR(VLOOKUP(A45,'Discounts par marque'!$A:$G,5,FALSE),0)</f>
        <v/>
      </c>
      <c r="S45" s="12">
        <f>IFERROR(I45*(1-Q45/100),"")</f>
        <v/>
      </c>
      <c r="T45" s="12">
        <f>IFERROR(S45/(F45*G45),"")</f>
        <v/>
      </c>
      <c r="U45" s="12">
        <f>IFERROR(I45*(1-R45/100),"")</f>
        <v/>
      </c>
      <c r="V45" s="12">
        <f>IFERROR(U45/(F45*G45),"")</f>
        <v/>
      </c>
      <c r="W45" t="inlineStr">
        <is>
          <t>https://fr.myprotein.com/p/nutrition-sportive/myprotein-impact-whey-protein-chocolate-1kg/11068071/</t>
        </is>
      </c>
      <c r="X45" t="inlineStr">
        <is>
          <t>Prix actuel = 17.99€ sur fr.myprotein.com/.../11068071/ (scraped Playwright 2026-04-14). Promo site -30% + extra app ramène à 17.99 vs 41.99 nominal (soit -57%). Pattern MyProtein Whey Protein uniquement.</t>
        </is>
      </c>
    </row>
    <row r="46">
      <c r="A46">
        <f>'Benchmark détaillé'!AT1</f>
        <v/>
      </c>
      <c r="B46" t="inlineStr">
        <is>
          <t>Impact Whey Protein 2,5kg</t>
        </is>
      </c>
      <c r="C46">
        <f>'Benchmark détaillé'!AT4</f>
        <v/>
      </c>
      <c r="D46">
        <f>'Benchmark détaillé'!AT10</f>
        <v/>
      </c>
      <c r="E46">
        <f>'Benchmark détaillé'!AT5</f>
        <v/>
      </c>
      <c r="F46">
        <f>'Benchmark détaillé'!AT15</f>
        <v/>
      </c>
      <c r="G46">
        <f>'Benchmark détaillé'!AT13</f>
        <v/>
      </c>
      <c r="H46">
        <f>'Benchmark détaillé'!AT21</f>
        <v/>
      </c>
      <c r="I46">
        <f>'Benchmark détaillé'!AT22</f>
        <v/>
      </c>
      <c r="J46">
        <f>'Benchmark détaillé'!AT23</f>
        <v/>
      </c>
      <c r="K46" s="12">
        <f>IFERROR((H46-I46)/H46*100,"")</f>
        <v/>
      </c>
      <c r="L46" s="12">
        <f>IFERROR((I46-J46)/I46*100,"")</f>
        <v/>
      </c>
      <c r="M46" s="12">
        <f>IFERROR(I46/(E46/1000),"")</f>
        <v/>
      </c>
      <c r="N46" s="12">
        <f>IFERROR(I46/(F46*G46),"")</f>
        <v/>
      </c>
      <c r="O46">
        <f>'Benchmark détaillé'!AT31</f>
        <v/>
      </c>
      <c r="P46">
        <f>'Benchmark détaillé'!AT32</f>
        <v/>
      </c>
      <c r="Q46" s="12">
        <f>IFERROR(VLOOKUP(A46,'Discounts par marque'!$A:$G,4,FALSE),0)</f>
        <v/>
      </c>
      <c r="R46" s="12">
        <f>IFERROR(VLOOKUP(A46,'Discounts par marque'!$A:$G,5,FALSE),0)</f>
        <v/>
      </c>
      <c r="S46" s="12">
        <f>IFERROR(I46*(1-Q46/100),"")</f>
        <v/>
      </c>
      <c r="T46" s="12">
        <f>IFERROR(S46/(F46*G46),"")</f>
        <v/>
      </c>
      <c r="U46" s="12">
        <f>IFERROR(I46*(1-R46/100),"")</f>
        <v/>
      </c>
      <c r="V46" s="12">
        <f>IFERROR(U46/(F46*G46),"")</f>
        <v/>
      </c>
      <c r="W46" t="inlineStr">
        <is>
          <t>https://fr.myprotein.com/p/nutrition-sportive/myprotein-impact-whey-protein-chocolate-nut-2.5kg/10530969/</t>
        </is>
      </c>
      <c r="X46" t="inlineStr">
        <is>
          <t>Prix scrapé via variant Chocolate Nut 2.5kg (10530969) : 84.99€ barré / 40.99€ actuel. Promo -52%. Playwright 2026-04-14.</t>
        </is>
      </c>
    </row>
    <row r="47">
      <c r="A47">
        <f>'Benchmark détaillé'!AU1</f>
        <v/>
      </c>
      <c r="B47" t="inlineStr">
        <is>
          <t>Impact Whey Protein 5kg (Sans arôme)</t>
        </is>
      </c>
      <c r="C47">
        <f>'Benchmark détaillé'!AU4</f>
        <v/>
      </c>
      <c r="D47">
        <f>'Benchmark détaillé'!AU10</f>
        <v/>
      </c>
      <c r="E47">
        <f>'Benchmark détaillé'!AU5</f>
        <v/>
      </c>
      <c r="F47">
        <f>'Benchmark détaillé'!AU15</f>
        <v/>
      </c>
      <c r="G47">
        <f>'Benchmark détaillé'!AU13</f>
        <v/>
      </c>
      <c r="H47">
        <f>'Benchmark détaillé'!AU21</f>
        <v/>
      </c>
      <c r="I47">
        <f>'Benchmark détaillé'!AU22</f>
        <v/>
      </c>
      <c r="J47">
        <f>'Benchmark détaillé'!AU23</f>
        <v/>
      </c>
      <c r="K47" s="12">
        <f>IFERROR((H47-I47)/H47*100,"")</f>
        <v/>
      </c>
      <c r="L47" s="12">
        <f>IFERROR((I47-J47)/I47*100,"")</f>
        <v/>
      </c>
      <c r="M47" s="12">
        <f>IFERROR(I47/(E47/1000),"")</f>
        <v/>
      </c>
      <c r="N47" s="12">
        <f>IFERROR(I47/(F47*G47),"")</f>
        <v/>
      </c>
      <c r="O47">
        <f>'Benchmark détaillé'!AU31</f>
        <v/>
      </c>
      <c r="P47">
        <f>'Benchmark détaillé'!AU32</f>
        <v/>
      </c>
      <c r="Q47" s="12">
        <f>IFERROR(VLOOKUP(A47,'Discounts par marque'!$A:$G,4,FALSE),0)</f>
        <v/>
      </c>
      <c r="R47" s="12">
        <f>IFERROR(VLOOKUP(A47,'Discounts par marque'!$A:$G,5,FALSE),0)</f>
        <v/>
      </c>
      <c r="S47" s="12">
        <f>IFERROR(I47*(1-Q47/100),"")</f>
        <v/>
      </c>
      <c r="T47" s="12">
        <f>IFERROR(S47/(F47*G47),"")</f>
        <v/>
      </c>
      <c r="U47" s="12">
        <f>IFERROR(I47*(1-R47/100),"")</f>
        <v/>
      </c>
      <c r="V47" s="12">
        <f>IFERROR(U47/(F47*G47),"")</f>
        <v/>
      </c>
      <c r="W47" t="inlineStr">
        <is>
          <t>https://fr.myprotein.com/p/nutrition-sportive/impact-whey-protein/10530943/</t>
        </is>
      </c>
      <c r="X47" t="inlineStr">
        <is>
          <t>5kg n'existe qu'en 'Sans arôme' (chocolat inexistant). Current price = extrapolation du ratio 2.5kg (40.99/84.99=0.482) : 188.99 × 0.482 ≈ 91.10€.</t>
        </is>
      </c>
    </row>
    <row r="48">
      <c r="A48">
        <f>'Benchmark détaillé'!AV1</f>
        <v/>
      </c>
      <c r="B48" t="inlineStr">
        <is>
          <t>Clear Whey Isolate 875g</t>
        </is>
      </c>
      <c r="C48">
        <f>'Benchmark détaillé'!AV4</f>
        <v/>
      </c>
      <c r="D48">
        <f>'Benchmark détaillé'!AV10</f>
        <v/>
      </c>
      <c r="E48">
        <f>'Benchmark détaillé'!AV5</f>
        <v/>
      </c>
      <c r="F48">
        <f>'Benchmark détaillé'!AV15</f>
        <v/>
      </c>
      <c r="G48">
        <f>'Benchmark détaillé'!AV13</f>
        <v/>
      </c>
      <c r="H48">
        <f>'Benchmark détaillé'!AV21</f>
        <v/>
      </c>
      <c r="I48">
        <f>'Benchmark détaillé'!AV22</f>
        <v/>
      </c>
      <c r="J48">
        <f>'Benchmark détaillé'!AV23</f>
        <v/>
      </c>
      <c r="K48" s="12">
        <f>IFERROR((H48-I48)/H48*100,"")</f>
        <v/>
      </c>
      <c r="L48" s="12">
        <f>IFERROR((I48-J48)/I48*100,"")</f>
        <v/>
      </c>
      <c r="M48" s="12">
        <f>IFERROR(I48/(E48/1000),"")</f>
        <v/>
      </c>
      <c r="N48" s="12">
        <f>IFERROR(I48/(F48*G48),"")</f>
        <v/>
      </c>
      <c r="O48">
        <f>'Benchmark détaillé'!AV31</f>
        <v/>
      </c>
      <c r="P48">
        <f>'Benchmark détaillé'!AV32</f>
        <v/>
      </c>
      <c r="Q48" s="12">
        <f>IFERROR(VLOOKUP(A48,'Discounts par marque'!$A:$G,4,FALSE),0)</f>
        <v/>
      </c>
      <c r="R48" s="12">
        <f>IFERROR(VLOOKUP(A48,'Discounts par marque'!$A:$G,5,FALSE),0)</f>
        <v/>
      </c>
      <c r="S48" s="12">
        <f>IFERROR(I48*(1-Q48/100),"")</f>
        <v/>
      </c>
      <c r="T48" s="12">
        <f>IFERROR(S48/(F48*G48),"")</f>
        <v/>
      </c>
      <c r="U48" s="12">
        <f>IFERROR(I48*(1-R48/100),"")</f>
        <v/>
      </c>
      <c r="V48" s="12">
        <f>IFERROR(U48/(F48*G48),"")</f>
        <v/>
      </c>
      <c r="W48" t="inlineStr">
        <is>
          <t>https://fr.myprotein.com/p/nutrition-sportive/clear-whey-isolate/12081395/</t>
        </is>
      </c>
      <c r="X48" t="inlineStr">
        <is>
          <t>Clear Whey exclu de la promo -30% (mention explicite). Format 875g max (pas de 1kg). Confirmé via scraping 12081395.</t>
        </is>
      </c>
    </row>
    <row r="49">
      <c r="A49">
        <f>'Benchmark détaillé'!AW1</f>
        <v/>
      </c>
      <c r="B49" t="inlineStr">
        <is>
          <t>Zero Diet Whey 750g</t>
        </is>
      </c>
      <c r="C49">
        <f>'Benchmark détaillé'!AW4</f>
        <v/>
      </c>
      <c r="D49">
        <f>'Benchmark détaillé'!AW10</f>
        <v/>
      </c>
      <c r="E49">
        <f>'Benchmark détaillé'!AW5</f>
        <v/>
      </c>
      <c r="F49">
        <f>'Benchmark détaillé'!AW15</f>
        <v/>
      </c>
      <c r="G49">
        <f>'Benchmark détaillé'!AW13</f>
        <v/>
      </c>
      <c r="H49">
        <f>'Benchmark détaillé'!AW21</f>
        <v/>
      </c>
      <c r="I49">
        <f>'Benchmark détaillé'!AW22</f>
        <v/>
      </c>
      <c r="J49">
        <f>'Benchmark détaillé'!AW23</f>
        <v/>
      </c>
      <c r="K49" s="12">
        <f>IFERROR((H49-I49)/H49*100,"")</f>
        <v/>
      </c>
      <c r="L49" s="12">
        <f>IFERROR((I49-J49)/I49*100,"")</f>
        <v/>
      </c>
      <c r="M49" s="12">
        <f>IFERROR(I49/(E49/1000),"")</f>
        <v/>
      </c>
      <c r="N49" s="12">
        <f>IFERROR(I49/(F49*G49),"")</f>
        <v/>
      </c>
      <c r="O49">
        <f>'Benchmark détaillé'!AW31</f>
        <v/>
      </c>
      <c r="P49">
        <f>'Benchmark détaillé'!AW32</f>
        <v/>
      </c>
      <c r="Q49" s="12">
        <f>IFERROR(VLOOKUP(A49,'Discounts par marque'!$A:$G,4,FALSE),0)</f>
        <v/>
      </c>
      <c r="R49" s="12">
        <f>IFERROR(VLOOKUP(A49,'Discounts par marque'!$A:$G,5,FALSE),0)</f>
        <v/>
      </c>
      <c r="S49" s="12">
        <f>IFERROR(I49*(1-Q49/100),"")</f>
        <v/>
      </c>
      <c r="T49" s="12">
        <f>IFERROR(S49/(F49*G49),"")</f>
        <v/>
      </c>
      <c r="U49" s="12">
        <f>IFERROR(I49*(1-R49/100),"")</f>
        <v/>
      </c>
      <c r="V49" s="12">
        <f>IFERROR(U49/(F49*G49),"")</f>
        <v/>
      </c>
      <c r="W49" t="inlineStr">
        <is>
          <t>https://www.prozis.com/fr/fr/prozis/zero-diet-whey-750-g</t>
        </is>
      </c>
    </row>
    <row r="50">
      <c r="A50">
        <f>'Benchmark détaillé'!AX1</f>
        <v/>
      </c>
      <c r="B50" t="inlineStr">
        <is>
          <t>100% Real Whey Isolate 1000g</t>
        </is>
      </c>
      <c r="C50">
        <f>'Benchmark détaillé'!AX4</f>
        <v/>
      </c>
      <c r="D50">
        <f>'Benchmark détaillé'!AX10</f>
        <v/>
      </c>
      <c r="E50">
        <f>'Benchmark détaillé'!AX5</f>
        <v/>
      </c>
      <c r="F50">
        <f>'Benchmark détaillé'!AX15</f>
        <v/>
      </c>
      <c r="G50">
        <f>'Benchmark détaillé'!AX13</f>
        <v/>
      </c>
      <c r="H50">
        <f>'Benchmark détaillé'!AX21</f>
        <v/>
      </c>
      <c r="I50">
        <f>'Benchmark détaillé'!AX22</f>
        <v/>
      </c>
      <c r="J50">
        <f>'Benchmark détaillé'!AX23</f>
        <v/>
      </c>
      <c r="K50" s="12">
        <f>IFERROR((H50-I50)/H50*100,"")</f>
        <v/>
      </c>
      <c r="L50" s="12">
        <f>IFERROR((I50-J50)/I50*100,"")</f>
        <v/>
      </c>
      <c r="M50" s="12">
        <f>IFERROR(I50/(E50/1000),"")</f>
        <v/>
      </c>
      <c r="N50" s="12">
        <f>IFERROR(I50/(F50*G50),"")</f>
        <v/>
      </c>
      <c r="O50">
        <f>'Benchmark détaillé'!AX31</f>
        <v/>
      </c>
      <c r="P50">
        <f>'Benchmark détaillé'!AX32</f>
        <v/>
      </c>
      <c r="Q50" s="12">
        <f>IFERROR(VLOOKUP(A50,'Discounts par marque'!$A:$G,4,FALSE),0)</f>
        <v/>
      </c>
      <c r="R50" s="12">
        <f>IFERROR(VLOOKUP(A50,'Discounts par marque'!$A:$G,5,FALSE),0)</f>
        <v/>
      </c>
      <c r="S50" s="12">
        <f>IFERROR(I50*(1-Q50/100),"")</f>
        <v/>
      </c>
      <c r="T50" s="12">
        <f>IFERROR(S50/(F50*G50),"")</f>
        <v/>
      </c>
      <c r="U50" s="12">
        <f>IFERROR(I50*(1-R50/100),"")</f>
        <v/>
      </c>
      <c r="V50" s="12">
        <f>IFERROR(U50/(F50*G50),"")</f>
        <v/>
      </c>
      <c r="W50" t="inlineStr">
        <is>
          <t>https://www.prozis.com/fr/fr/prozis/100-real-whey-isolate-1000-g</t>
        </is>
      </c>
    </row>
    <row r="51">
      <c r="A51">
        <f>'Benchmark détaillé'!AY1</f>
        <v/>
      </c>
      <c r="B51" t="inlineStr">
        <is>
          <t>100% Real Whey Protein 907g</t>
        </is>
      </c>
      <c r="C51">
        <f>'Benchmark détaillé'!AY4</f>
        <v/>
      </c>
      <c r="D51">
        <f>'Benchmark détaillé'!AY10</f>
        <v/>
      </c>
      <c r="E51">
        <f>'Benchmark détaillé'!AY5</f>
        <v/>
      </c>
      <c r="F51">
        <f>'Benchmark détaillé'!AY15</f>
        <v/>
      </c>
      <c r="G51">
        <f>'Benchmark détaillé'!AY13</f>
        <v/>
      </c>
      <c r="H51">
        <f>'Benchmark détaillé'!AY21</f>
        <v/>
      </c>
      <c r="I51">
        <f>'Benchmark détaillé'!AY22</f>
        <v/>
      </c>
      <c r="J51">
        <f>'Benchmark détaillé'!AY23</f>
        <v/>
      </c>
      <c r="K51" s="12">
        <f>IFERROR((H51-I51)/H51*100,"")</f>
        <v/>
      </c>
      <c r="L51" s="12">
        <f>IFERROR((I51-J51)/I51*100,"")</f>
        <v/>
      </c>
      <c r="M51" s="12">
        <f>IFERROR(I51/(E51/1000),"")</f>
        <v/>
      </c>
      <c r="N51" s="12">
        <f>IFERROR(I51/(F51*G51),"")</f>
        <v/>
      </c>
      <c r="O51">
        <f>'Benchmark détaillé'!AY31</f>
        <v/>
      </c>
      <c r="P51">
        <f>'Benchmark détaillé'!AY32</f>
        <v/>
      </c>
      <c r="Q51" s="12">
        <f>IFERROR(VLOOKUP(A51,'Discounts par marque'!$A:$G,4,FALSE),0)</f>
        <v/>
      </c>
      <c r="R51" s="12">
        <f>IFERROR(VLOOKUP(A51,'Discounts par marque'!$A:$G,5,FALSE),0)</f>
        <v/>
      </c>
      <c r="S51" s="12">
        <f>IFERROR(I51*(1-Q51/100),"")</f>
        <v/>
      </c>
      <c r="T51" s="12">
        <f>IFERROR(S51/(F51*G51),"")</f>
        <v/>
      </c>
      <c r="U51" s="12">
        <f>IFERROR(I51*(1-R51/100),"")</f>
        <v/>
      </c>
      <c r="V51" s="12">
        <f>IFERROR(U51/(F51*G51),"")</f>
        <v/>
      </c>
      <c r="W51" t="inlineStr">
        <is>
          <t>https://www.prozis.com/fr/fr/prozis/100-real-whey-protein-907g</t>
        </is>
      </c>
    </row>
    <row r="52">
      <c r="A52">
        <f>'Benchmark détaillé'!AZ1</f>
        <v/>
      </c>
      <c r="B52" t="inlineStr">
        <is>
          <t>100% Real Whey Protein 2000g</t>
        </is>
      </c>
      <c r="C52">
        <f>'Benchmark détaillé'!AZ4</f>
        <v/>
      </c>
      <c r="D52">
        <f>'Benchmark détaillé'!AZ10</f>
        <v/>
      </c>
      <c r="E52">
        <f>'Benchmark détaillé'!AZ5</f>
        <v/>
      </c>
      <c r="F52">
        <f>'Benchmark détaillé'!AZ15</f>
        <v/>
      </c>
      <c r="G52">
        <f>'Benchmark détaillé'!AZ13</f>
        <v/>
      </c>
      <c r="H52">
        <f>'Benchmark détaillé'!AZ21</f>
        <v/>
      </c>
      <c r="I52">
        <f>'Benchmark détaillé'!AZ22</f>
        <v/>
      </c>
      <c r="J52">
        <f>'Benchmark détaillé'!AZ23</f>
        <v/>
      </c>
      <c r="K52" s="12">
        <f>IFERROR((H52-I52)/H52*100,"")</f>
        <v/>
      </c>
      <c r="L52" s="12">
        <f>IFERROR((I52-J52)/I52*100,"")</f>
        <v/>
      </c>
      <c r="M52" s="12">
        <f>IFERROR(I52/(E52/1000),"")</f>
        <v/>
      </c>
      <c r="N52" s="12">
        <f>IFERROR(I52/(F52*G52),"")</f>
        <v/>
      </c>
      <c r="O52">
        <f>'Benchmark détaillé'!AZ31</f>
        <v/>
      </c>
      <c r="P52">
        <f>'Benchmark détaillé'!AZ32</f>
        <v/>
      </c>
      <c r="Q52" s="12">
        <f>IFERROR(VLOOKUP(A52,'Discounts par marque'!$A:$G,4,FALSE),0)</f>
        <v/>
      </c>
      <c r="R52" s="12">
        <f>IFERROR(VLOOKUP(A52,'Discounts par marque'!$A:$G,5,FALSE),0)</f>
        <v/>
      </c>
      <c r="S52" s="12">
        <f>IFERROR(I52*(1-Q52/100),"")</f>
        <v/>
      </c>
      <c r="T52" s="12">
        <f>IFERROR(S52/(F52*G52),"")</f>
        <v/>
      </c>
      <c r="U52" s="12">
        <f>IFERROR(I52*(1-R52/100),"")</f>
        <v/>
      </c>
      <c r="V52" s="12">
        <f>IFERROR(U52/(F52*G52),"")</f>
        <v/>
      </c>
      <c r="W52" t="inlineStr">
        <is>
          <t>https://www.prozis.com/fr/fr/prozis/100-real-whey-protein-907g</t>
        </is>
      </c>
    </row>
    <row r="53">
      <c r="A53">
        <f>'Benchmark détaillé'!BA1</f>
        <v/>
      </c>
      <c r="B53" t="inlineStr">
        <is>
          <t>100% Whey Hydro Isolate 2000g</t>
        </is>
      </c>
      <c r="C53">
        <f>'Benchmark détaillé'!BA4</f>
        <v/>
      </c>
      <c r="D53">
        <f>'Benchmark détaillé'!BA10</f>
        <v/>
      </c>
      <c r="E53">
        <f>'Benchmark détaillé'!BA5</f>
        <v/>
      </c>
      <c r="F53">
        <f>'Benchmark détaillé'!BA15</f>
        <v/>
      </c>
      <c r="G53">
        <f>'Benchmark détaillé'!BA13</f>
        <v/>
      </c>
      <c r="H53">
        <f>'Benchmark détaillé'!BA21</f>
        <v/>
      </c>
      <c r="I53">
        <f>'Benchmark détaillé'!BA22</f>
        <v/>
      </c>
      <c r="J53">
        <f>'Benchmark détaillé'!BA23</f>
        <v/>
      </c>
      <c r="K53" s="12">
        <f>IFERROR((H53-I53)/H53*100,"")</f>
        <v/>
      </c>
      <c r="L53" s="12">
        <f>IFERROR((I53-J53)/I53*100,"")</f>
        <v/>
      </c>
      <c r="M53" s="12">
        <f>IFERROR(I53/(E53/1000),"")</f>
        <v/>
      </c>
      <c r="N53" s="12">
        <f>IFERROR(I53/(F53*G53),"")</f>
        <v/>
      </c>
      <c r="O53">
        <f>'Benchmark détaillé'!BA31</f>
        <v/>
      </c>
      <c r="P53">
        <f>'Benchmark détaillé'!BA32</f>
        <v/>
      </c>
      <c r="Q53" s="12">
        <f>IFERROR(VLOOKUP(A53,'Discounts par marque'!$A:$G,4,FALSE),0)</f>
        <v/>
      </c>
      <c r="R53" s="12">
        <f>IFERROR(VLOOKUP(A53,'Discounts par marque'!$A:$G,5,FALSE),0)</f>
        <v/>
      </c>
      <c r="S53" s="12">
        <f>IFERROR(I53*(1-Q53/100),"")</f>
        <v/>
      </c>
      <c r="T53" s="12">
        <f>IFERROR(S53/(F53*G53),"")</f>
        <v/>
      </c>
      <c r="U53" s="12">
        <f>IFERROR(I53*(1-R53/100),"")</f>
        <v/>
      </c>
      <c r="V53" s="12">
        <f>IFERROR(U53/(F53*G53),"")</f>
        <v/>
      </c>
      <c r="W53" t="inlineStr">
        <is>
          <t>https://www.prozis.com/fr/fr/prozis/100-whey-hydro-isolate-2000g</t>
        </is>
      </c>
    </row>
    <row r="54">
      <c r="A54">
        <f>'Benchmark détaillé'!BB1</f>
        <v/>
      </c>
      <c r="B54" t="inlineStr">
        <is>
          <t>Whey Protein 750g</t>
        </is>
      </c>
      <c r="C54">
        <f>'Benchmark détaillé'!BB4</f>
        <v/>
      </c>
      <c r="D54">
        <f>'Benchmark détaillé'!BB10</f>
        <v/>
      </c>
      <c r="E54">
        <f>'Benchmark détaillé'!BB5</f>
        <v/>
      </c>
      <c r="F54">
        <f>'Benchmark détaillé'!BB15</f>
        <v/>
      </c>
      <c r="G54">
        <f>'Benchmark détaillé'!BB13</f>
        <v/>
      </c>
      <c r="H54">
        <f>'Benchmark détaillé'!BB21</f>
        <v/>
      </c>
      <c r="I54">
        <f>'Benchmark détaillé'!BB22</f>
        <v/>
      </c>
      <c r="J54">
        <f>'Benchmark détaillé'!BB23</f>
        <v/>
      </c>
      <c r="K54" s="12">
        <f>IFERROR((H54-I54)/H54*100,"")</f>
        <v/>
      </c>
      <c r="L54" s="12">
        <f>IFERROR((I54-J54)/I54*100,"")</f>
        <v/>
      </c>
      <c r="M54" s="12">
        <f>IFERROR(I54/(E54/1000),"")</f>
        <v/>
      </c>
      <c r="N54" s="12">
        <f>IFERROR(I54/(F54*G54),"")</f>
        <v/>
      </c>
      <c r="O54">
        <f>'Benchmark détaillé'!BB31</f>
        <v/>
      </c>
      <c r="P54">
        <f>'Benchmark détaillé'!BB32</f>
        <v/>
      </c>
      <c r="Q54" s="12">
        <f>IFERROR(VLOOKUP(A54,'Discounts par marque'!$A:$G,4,FALSE),0)</f>
        <v/>
      </c>
      <c r="R54" s="12">
        <f>IFERROR(VLOOKUP(A54,'Discounts par marque'!$A:$G,5,FALSE),0)</f>
        <v/>
      </c>
      <c r="S54" s="12">
        <f>IFERROR(I54*(1-Q54/100),"")</f>
        <v/>
      </c>
      <c r="T54" s="12">
        <f>IFERROR(S54/(F54*G54),"")</f>
        <v/>
      </c>
      <c r="U54" s="12">
        <f>IFERROR(I54*(1-R54/100),"")</f>
        <v/>
      </c>
      <c r="V54" s="12">
        <f>IFERROR(U54/(F54*G54),"")</f>
        <v/>
      </c>
      <c r="W54" t="inlineStr">
        <is>
          <t>https://www.amazon.fr/foodspring-croissance-musculaire-solubilit%C3%A9-ultra-filtr%C3%A9e/dp/B0CTR3FZ7W</t>
        </is>
      </c>
      <c r="X54" t="inlineStr">
        <is>
          <t>Site foodspring.fr = DNS dead (brand pas disponible en FR direct). Prix récupéré via Amazon FR fiche vanille 750g : 29,96€ current (39,90€ RRP affiché). Agent v2 avait 32,95€ via revendeur paraplus.fr, désormais obsolète.</t>
        </is>
      </c>
    </row>
    <row r="55">
      <c r="A55">
        <f>'Benchmark détaillé'!BC1</f>
        <v/>
      </c>
      <c r="B55" t="inlineStr">
        <is>
          <t>Iso Whey Protein Isolat 908g</t>
        </is>
      </c>
      <c r="C55">
        <f>'Benchmark détaillé'!BC4</f>
        <v/>
      </c>
      <c r="D55">
        <f>'Benchmark détaillé'!BC10</f>
        <v/>
      </c>
      <c r="E55">
        <f>'Benchmark détaillé'!BC5</f>
        <v/>
      </c>
      <c r="F55">
        <f>'Benchmark détaillé'!BC15</f>
        <v/>
      </c>
      <c r="G55">
        <f>'Benchmark détaillé'!BC13</f>
        <v/>
      </c>
      <c r="H55">
        <f>'Benchmark détaillé'!BC21</f>
        <v/>
      </c>
      <c r="I55">
        <f>'Benchmark détaillé'!BC22</f>
        <v/>
      </c>
      <c r="J55">
        <f>'Benchmark détaillé'!BC23</f>
        <v/>
      </c>
      <c r="K55" s="12">
        <f>IFERROR((H55-I55)/H55*100,"")</f>
        <v/>
      </c>
      <c r="L55" s="12">
        <f>IFERROR((I55-J55)/I55*100,"")</f>
        <v/>
      </c>
      <c r="M55" s="12">
        <f>IFERROR(I55/(E55/1000),"")</f>
        <v/>
      </c>
      <c r="N55" s="12">
        <f>IFERROR(I55/(F55*G55),"")</f>
        <v/>
      </c>
      <c r="O55">
        <f>'Benchmark détaillé'!BC31</f>
        <v/>
      </c>
      <c r="P55">
        <f>'Benchmark détaillé'!BC32</f>
        <v/>
      </c>
      <c r="Q55" s="12">
        <f>IFERROR(VLOOKUP(A55,'Discounts par marque'!$A:$G,4,FALSE),0)</f>
        <v/>
      </c>
      <c r="R55" s="12">
        <f>IFERROR(VLOOKUP(A55,'Discounts par marque'!$A:$G,5,FALSE),0)</f>
        <v/>
      </c>
      <c r="S55" s="12">
        <f>IFERROR(I55*(1-Q55/100),"")</f>
        <v/>
      </c>
      <c r="T55" s="12">
        <f>IFERROR(S55/(F55*G55),"")</f>
        <v/>
      </c>
      <c r="U55" s="12">
        <f>IFERROR(I55*(1-R55/100),"")</f>
        <v/>
      </c>
      <c r="V55" s="12">
        <f>IFERROR(U55/(F55*G55),"")</f>
        <v/>
      </c>
      <c r="W55" t="inlineStr">
        <is>
          <t>https://www.esn.com/products/esn-iso-whey-protein</t>
        </is>
      </c>
    </row>
    <row r="56">
      <c r="A56">
        <f>'Benchmark détaillé'!BD1</f>
        <v/>
      </c>
      <c r="B56" t="inlineStr">
        <is>
          <t>Designer Whey Protein 908g</t>
        </is>
      </c>
      <c r="C56">
        <f>'Benchmark détaillé'!BD4</f>
        <v/>
      </c>
      <c r="D56">
        <f>'Benchmark détaillé'!BD10</f>
        <v/>
      </c>
      <c r="E56">
        <f>'Benchmark détaillé'!BD5</f>
        <v/>
      </c>
      <c r="F56">
        <f>'Benchmark détaillé'!BD15</f>
        <v/>
      </c>
      <c r="G56">
        <f>'Benchmark détaillé'!BD13</f>
        <v/>
      </c>
      <c r="H56">
        <f>'Benchmark détaillé'!BD21</f>
        <v/>
      </c>
      <c r="I56">
        <f>'Benchmark détaillé'!BD22</f>
        <v/>
      </c>
      <c r="J56">
        <f>'Benchmark détaillé'!BD23</f>
        <v/>
      </c>
      <c r="K56" s="12">
        <f>IFERROR((H56-I56)/H56*100,"")</f>
        <v/>
      </c>
      <c r="L56" s="12">
        <f>IFERROR((I56-J56)/I56*100,"")</f>
        <v/>
      </c>
      <c r="M56" s="12">
        <f>IFERROR(I56/(E56/1000),"")</f>
        <v/>
      </c>
      <c r="N56" s="12">
        <f>IFERROR(I56/(F56*G56),"")</f>
        <v/>
      </c>
      <c r="O56">
        <f>'Benchmark détaillé'!BD31</f>
        <v/>
      </c>
      <c r="P56">
        <f>'Benchmark détaillé'!BD32</f>
        <v/>
      </c>
      <c r="Q56" s="12">
        <f>IFERROR(VLOOKUP(A56,'Discounts par marque'!$A:$G,4,FALSE),0)</f>
        <v/>
      </c>
      <c r="R56" s="12">
        <f>IFERROR(VLOOKUP(A56,'Discounts par marque'!$A:$G,5,FALSE),0)</f>
        <v/>
      </c>
      <c r="S56" s="12">
        <f>IFERROR(I56*(1-Q56/100),"")</f>
        <v/>
      </c>
      <c r="T56" s="12">
        <f>IFERROR(S56/(F56*G56),"")</f>
        <v/>
      </c>
      <c r="U56" s="12">
        <f>IFERROR(I56*(1-R56/100),"")</f>
        <v/>
      </c>
      <c r="V56" s="12">
        <f>IFERROR(U56/(F56*G56),"")</f>
        <v/>
      </c>
      <c r="W56" t="inlineStr">
        <is>
          <t>https://www.esn.com/products/esn-designer-whey-protein</t>
        </is>
      </c>
      <c r="X56" t="inlineStr">
        <is>
          <t>Prix réel confirmé 41.99€ (vs 42.90€ ancien). Drift mineur sans promo.</t>
        </is>
      </c>
    </row>
    <row r="57">
      <c r="A57">
        <f>'Benchmark détaillé'!BE1</f>
        <v/>
      </c>
      <c r="B57" t="inlineStr">
        <is>
          <t>Basic Whey 1000g</t>
        </is>
      </c>
      <c r="C57">
        <f>'Benchmark détaillé'!BE4</f>
        <v/>
      </c>
      <c r="D57">
        <f>'Benchmark détaillé'!BE10</f>
        <v/>
      </c>
      <c r="E57">
        <f>'Benchmark détaillé'!BE5</f>
        <v/>
      </c>
      <c r="F57">
        <f>'Benchmark détaillé'!BE15</f>
        <v/>
      </c>
      <c r="G57">
        <f>'Benchmark détaillé'!BE13</f>
        <v/>
      </c>
      <c r="H57">
        <f>'Benchmark détaillé'!BE21</f>
        <v/>
      </c>
      <c r="I57">
        <f>'Benchmark détaillé'!BE22</f>
        <v/>
      </c>
      <c r="J57">
        <f>'Benchmark détaillé'!BE23</f>
        <v/>
      </c>
      <c r="K57" s="12">
        <f>IFERROR((H57-I57)/H57*100,"")</f>
        <v/>
      </c>
      <c r="L57" s="12">
        <f>IFERROR((I57-J57)/I57*100,"")</f>
        <v/>
      </c>
      <c r="M57" s="12">
        <f>IFERROR(I57/(E57/1000),"")</f>
        <v/>
      </c>
      <c r="N57" s="12">
        <f>IFERROR(I57/(F57*G57),"")</f>
        <v/>
      </c>
      <c r="O57">
        <f>'Benchmark détaillé'!BE31</f>
        <v/>
      </c>
      <c r="P57">
        <f>'Benchmark détaillé'!BE32</f>
        <v/>
      </c>
      <c r="Q57" s="12">
        <f>IFERROR(VLOOKUP(A57,'Discounts par marque'!$A:$G,4,FALSE),0)</f>
        <v/>
      </c>
      <c r="R57" s="12">
        <f>IFERROR(VLOOKUP(A57,'Discounts par marque'!$A:$G,5,FALSE),0)</f>
        <v/>
      </c>
      <c r="S57" s="12">
        <f>IFERROR(I57*(1-Q57/100),"")</f>
        <v/>
      </c>
      <c r="T57" s="12">
        <f>IFERROR(S57/(F57*G57),"")</f>
        <v/>
      </c>
      <c r="U57" s="12">
        <f>IFERROR(I57*(1-R57/100),"")</f>
        <v/>
      </c>
      <c r="V57" s="12">
        <f>IFERROR(U57/(F57*G57),"")</f>
        <v/>
      </c>
      <c r="W57" t="inlineStr">
        <is>
          <t>https://www.esn.com/products/basic-whey</t>
        </is>
      </c>
    </row>
    <row r="58">
      <c r="A58">
        <f>'Benchmark détaillé'!BF1</f>
        <v/>
      </c>
      <c r="B58" t="inlineStr">
        <is>
          <t>Designer Whey Protein 2000g</t>
        </is>
      </c>
      <c r="C58">
        <f>'Benchmark détaillé'!BF4</f>
        <v/>
      </c>
      <c r="D58">
        <f>'Benchmark détaillé'!BF10</f>
        <v/>
      </c>
      <c r="E58">
        <f>'Benchmark détaillé'!BF5</f>
        <v/>
      </c>
      <c r="F58">
        <f>'Benchmark détaillé'!BF15</f>
        <v/>
      </c>
      <c r="G58">
        <f>'Benchmark détaillé'!BF13</f>
        <v/>
      </c>
      <c r="H58">
        <f>'Benchmark détaillé'!BF21</f>
        <v/>
      </c>
      <c r="I58">
        <f>'Benchmark détaillé'!BF22</f>
        <v/>
      </c>
      <c r="J58">
        <f>'Benchmark détaillé'!BF23</f>
        <v/>
      </c>
      <c r="K58" s="12">
        <f>IFERROR((H58-I58)/H58*100,"")</f>
        <v/>
      </c>
      <c r="L58" s="12">
        <f>IFERROR((I58-J58)/I58*100,"")</f>
        <v/>
      </c>
      <c r="M58" s="12">
        <f>IFERROR(I58/(E58/1000),"")</f>
        <v/>
      </c>
      <c r="N58" s="12">
        <f>IFERROR(I58/(F58*G58),"")</f>
        <v/>
      </c>
      <c r="O58">
        <f>'Benchmark détaillé'!BF31</f>
        <v/>
      </c>
      <c r="P58">
        <f>'Benchmark détaillé'!BF32</f>
        <v/>
      </c>
      <c r="Q58" s="12">
        <f>IFERROR(VLOOKUP(A58,'Discounts par marque'!$A:$G,4,FALSE),0)</f>
        <v/>
      </c>
      <c r="R58" s="12">
        <f>IFERROR(VLOOKUP(A58,'Discounts par marque'!$A:$G,5,FALSE),0)</f>
        <v/>
      </c>
      <c r="S58" s="12">
        <f>IFERROR(I58*(1-Q58/100),"")</f>
        <v/>
      </c>
      <c r="T58" s="12">
        <f>IFERROR(S58/(F58*G58),"")</f>
        <v/>
      </c>
      <c r="U58" s="12">
        <f>IFERROR(I58*(1-R58/100),"")</f>
        <v/>
      </c>
      <c r="V58" s="12">
        <f>IFERROR(U58/(F58*G58),"")</f>
        <v/>
      </c>
      <c r="W58" t="inlineStr">
        <is>
          <t>https://www.esn.com/products/esn-designer-whey-protein</t>
        </is>
      </c>
    </row>
    <row r="59">
      <c r="A59">
        <f>'Benchmark détaillé'!BG1</f>
        <v/>
      </c>
      <c r="B59" t="inlineStr">
        <is>
          <t>Basic Whey 2000g</t>
        </is>
      </c>
      <c r="C59">
        <f>'Benchmark détaillé'!BG4</f>
        <v/>
      </c>
      <c r="D59">
        <f>'Benchmark détaillé'!BG10</f>
        <v/>
      </c>
      <c r="E59">
        <f>'Benchmark détaillé'!BG5</f>
        <v/>
      </c>
      <c r="F59">
        <f>'Benchmark détaillé'!BG15</f>
        <v/>
      </c>
      <c r="G59">
        <f>'Benchmark détaillé'!BG13</f>
        <v/>
      </c>
      <c r="H59">
        <f>'Benchmark détaillé'!BG21</f>
        <v/>
      </c>
      <c r="I59">
        <f>'Benchmark détaillé'!BG22</f>
        <v/>
      </c>
      <c r="J59">
        <f>'Benchmark détaillé'!BG23</f>
        <v/>
      </c>
      <c r="K59" s="12">
        <f>IFERROR((H59-I59)/H59*100,"")</f>
        <v/>
      </c>
      <c r="L59" s="12">
        <f>IFERROR((I59-J59)/I59*100,"")</f>
        <v/>
      </c>
      <c r="M59" s="12">
        <f>IFERROR(I59/(E59/1000),"")</f>
        <v/>
      </c>
      <c r="N59" s="12">
        <f>IFERROR(I59/(F59*G59),"")</f>
        <v/>
      </c>
      <c r="O59">
        <f>'Benchmark détaillé'!BG31</f>
        <v/>
      </c>
      <c r="P59">
        <f>'Benchmark détaillé'!BG32</f>
        <v/>
      </c>
      <c r="Q59" s="12">
        <f>IFERROR(VLOOKUP(A59,'Discounts par marque'!$A:$G,4,FALSE),0)</f>
        <v/>
      </c>
      <c r="R59" s="12">
        <f>IFERROR(VLOOKUP(A59,'Discounts par marque'!$A:$G,5,FALSE),0)</f>
        <v/>
      </c>
      <c r="S59" s="12">
        <f>IFERROR(I59*(1-Q59/100),"")</f>
        <v/>
      </c>
      <c r="T59" s="12">
        <f>IFERROR(S59/(F59*G59),"")</f>
        <v/>
      </c>
      <c r="U59" s="12">
        <f>IFERROR(I59*(1-R59/100),"")</f>
        <v/>
      </c>
      <c r="V59" s="12">
        <f>IFERROR(U59/(F59*G59),"")</f>
        <v/>
      </c>
      <c r="W59" t="inlineStr">
        <is>
          <t>https://www.esn.com/products/basic-whey</t>
        </is>
      </c>
    </row>
    <row r="60">
      <c r="A60">
        <f>'Benchmark détaillé'!BH1</f>
        <v/>
      </c>
      <c r="B60" t="inlineStr">
        <is>
          <t>Iso Whey Zero 908g</t>
        </is>
      </c>
      <c r="C60">
        <f>'Benchmark détaillé'!BH4</f>
        <v/>
      </c>
      <c r="D60">
        <f>'Benchmark détaillé'!BH10</f>
        <v/>
      </c>
      <c r="E60">
        <f>'Benchmark détaillé'!BH5</f>
        <v/>
      </c>
      <c r="F60">
        <f>'Benchmark détaillé'!BH15</f>
        <v/>
      </c>
      <c r="G60">
        <f>'Benchmark détaillé'!BH13</f>
        <v/>
      </c>
      <c r="H60">
        <f>'Benchmark détaillé'!BH21</f>
        <v/>
      </c>
      <c r="I60">
        <f>'Benchmark détaillé'!BH22</f>
        <v/>
      </c>
      <c r="J60">
        <f>'Benchmark détaillé'!BH23</f>
        <v/>
      </c>
      <c r="K60" s="12">
        <f>IFERROR((H60-I60)/H60*100,"")</f>
        <v/>
      </c>
      <c r="L60" s="12">
        <f>IFERROR((I60-J60)/I60*100,"")</f>
        <v/>
      </c>
      <c r="M60" s="12">
        <f>IFERROR(I60/(E60/1000),"")</f>
        <v/>
      </c>
      <c r="N60" s="12">
        <f>IFERROR(I60/(F60*G60),"")</f>
        <v/>
      </c>
      <c r="O60">
        <f>'Benchmark détaillé'!BH31</f>
        <v/>
      </c>
      <c r="P60">
        <f>'Benchmark détaillé'!BH32</f>
        <v/>
      </c>
      <c r="Q60" s="12">
        <f>IFERROR(VLOOKUP(A60,'Discounts par marque'!$A:$G,4,FALSE),0)</f>
        <v/>
      </c>
      <c r="R60" s="12">
        <f>IFERROR(VLOOKUP(A60,'Discounts par marque'!$A:$G,5,FALSE),0)</f>
        <v/>
      </c>
      <c r="S60" s="12">
        <f>IFERROR(I60*(1-Q60/100),"")</f>
        <v/>
      </c>
      <c r="T60" s="12">
        <f>IFERROR(S60/(F60*G60),"")</f>
        <v/>
      </c>
      <c r="U60" s="12">
        <f>IFERROR(I60*(1-R60/100),"")</f>
        <v/>
      </c>
      <c r="V60" s="12">
        <f>IFERROR(U60/(F60*G60),"")</f>
        <v/>
      </c>
      <c r="W60" t="inlineStr">
        <is>
          <t>https://shop.biotechusa.fr/products/iso-whey-zero-908-g</t>
        </is>
      </c>
    </row>
    <row r="61">
      <c r="A61">
        <f>'Benchmark détaillé'!BI1</f>
        <v/>
      </c>
      <c r="B61" t="inlineStr">
        <is>
          <t>Iso Whey Zero 1816g</t>
        </is>
      </c>
      <c r="C61">
        <f>'Benchmark détaillé'!BI4</f>
        <v/>
      </c>
      <c r="D61">
        <f>'Benchmark détaillé'!BI10</f>
        <v/>
      </c>
      <c r="E61">
        <f>'Benchmark détaillé'!BI5</f>
        <v/>
      </c>
      <c r="F61">
        <f>'Benchmark détaillé'!BI15</f>
        <v/>
      </c>
      <c r="G61">
        <f>'Benchmark détaillé'!BI13</f>
        <v/>
      </c>
      <c r="H61">
        <f>'Benchmark détaillé'!BI21</f>
        <v/>
      </c>
      <c r="I61">
        <f>'Benchmark détaillé'!BI22</f>
        <v/>
      </c>
      <c r="J61">
        <f>'Benchmark détaillé'!BI23</f>
        <v/>
      </c>
      <c r="K61" s="12">
        <f>IFERROR((H61-I61)/H61*100,"")</f>
        <v/>
      </c>
      <c r="L61" s="12">
        <f>IFERROR((I61-J61)/I61*100,"")</f>
        <v/>
      </c>
      <c r="M61" s="12">
        <f>IFERROR(I61/(E61/1000),"")</f>
        <v/>
      </c>
      <c r="N61" s="12">
        <f>IFERROR(I61/(F61*G61),"")</f>
        <v/>
      </c>
      <c r="O61">
        <f>'Benchmark détaillé'!BI31</f>
        <v/>
      </c>
      <c r="P61">
        <f>'Benchmark détaillé'!BI32</f>
        <v/>
      </c>
      <c r="Q61" s="12">
        <f>IFERROR(VLOOKUP(A61,'Discounts par marque'!$A:$G,4,FALSE),0)</f>
        <v/>
      </c>
      <c r="R61" s="12">
        <f>IFERROR(VLOOKUP(A61,'Discounts par marque'!$A:$G,5,FALSE),0)</f>
        <v/>
      </c>
      <c r="S61" s="12">
        <f>IFERROR(I61*(1-Q61/100),"")</f>
        <v/>
      </c>
      <c r="T61" s="12">
        <f>IFERROR(S61/(F61*G61),"")</f>
        <v/>
      </c>
      <c r="U61" s="12">
        <f>IFERROR(I61*(1-R61/100),"")</f>
        <v/>
      </c>
      <c r="V61" s="12">
        <f>IFERROR(U61/(F61*G61),"")</f>
        <v/>
      </c>
      <c r="W61" t="inlineStr">
        <is>
          <t>https://shop.biotechusa.fr/products/iso-whey-zero-poudre-de-proteine-isolat-1816-g</t>
        </is>
      </c>
    </row>
    <row r="62">
      <c r="A62">
        <f>'Benchmark détaillé'!BJ1</f>
        <v/>
      </c>
      <c r="B62" t="inlineStr">
        <is>
          <t>100% Pure Whey 400g</t>
        </is>
      </c>
      <c r="C62">
        <f>'Benchmark détaillé'!BJ4</f>
        <v/>
      </c>
      <c r="D62">
        <f>'Benchmark détaillé'!BJ10</f>
        <v/>
      </c>
      <c r="E62">
        <f>'Benchmark détaillé'!BJ5</f>
        <v/>
      </c>
      <c r="F62">
        <f>'Benchmark détaillé'!BJ15</f>
        <v/>
      </c>
      <c r="G62">
        <f>'Benchmark détaillé'!BJ13</f>
        <v/>
      </c>
      <c r="H62">
        <f>'Benchmark détaillé'!BJ21</f>
        <v/>
      </c>
      <c r="I62">
        <f>'Benchmark détaillé'!BJ22</f>
        <v/>
      </c>
      <c r="J62">
        <f>'Benchmark détaillé'!BJ23</f>
        <v/>
      </c>
      <c r="K62" s="12">
        <f>IFERROR((H62-I62)/H62*100,"")</f>
        <v/>
      </c>
      <c r="L62" s="12">
        <f>IFERROR((I62-J62)/I62*100,"")</f>
        <v/>
      </c>
      <c r="M62" s="12">
        <f>IFERROR(I62/(E62/1000),"")</f>
        <v/>
      </c>
      <c r="N62" s="12">
        <f>IFERROR(I62/(F62*G62),"")</f>
        <v/>
      </c>
      <c r="O62">
        <f>'Benchmark détaillé'!BJ31</f>
        <v/>
      </c>
      <c r="P62">
        <f>'Benchmark détaillé'!BJ32</f>
        <v/>
      </c>
      <c r="Q62" s="12">
        <f>IFERROR(VLOOKUP(A62,'Discounts par marque'!$A:$G,4,FALSE),0)</f>
        <v/>
      </c>
      <c r="R62" s="12">
        <f>IFERROR(VLOOKUP(A62,'Discounts par marque'!$A:$G,5,FALSE),0)</f>
        <v/>
      </c>
      <c r="S62" s="12">
        <f>IFERROR(I62*(1-Q62/100),"")</f>
        <v/>
      </c>
      <c r="T62" s="12">
        <f>IFERROR(S62/(F62*G62),"")</f>
        <v/>
      </c>
      <c r="U62" s="12">
        <f>IFERROR(I62*(1-R62/100),"")</f>
        <v/>
      </c>
      <c r="V62" s="12">
        <f>IFERROR(U62/(F62*G62),"")</f>
        <v/>
      </c>
      <c r="W62" t="inlineStr">
        <is>
          <t>https://shop.biotechusa.fr/products/100-pure-whey-400-g</t>
        </is>
      </c>
      <c r="X62" t="inlineStr">
        <is>
          <t>8.2€/100g vs 5.5€/100g sur format 1kg (petit format plus cher)</t>
        </is>
      </c>
    </row>
    <row r="63">
      <c r="A63">
        <f>'Benchmark détaillé'!BK1</f>
        <v/>
      </c>
      <c r="B63" t="inlineStr">
        <is>
          <t>100% Pure Whey 1000g</t>
        </is>
      </c>
      <c r="C63">
        <f>'Benchmark détaillé'!BK4</f>
        <v/>
      </c>
      <c r="D63">
        <f>'Benchmark détaillé'!BK10</f>
        <v/>
      </c>
      <c r="E63">
        <f>'Benchmark détaillé'!BK5</f>
        <v/>
      </c>
      <c r="F63">
        <f>'Benchmark détaillé'!BK15</f>
        <v/>
      </c>
      <c r="G63">
        <f>'Benchmark détaillé'!BK13</f>
        <v/>
      </c>
      <c r="H63">
        <f>'Benchmark détaillé'!BK21</f>
        <v/>
      </c>
      <c r="I63">
        <f>'Benchmark détaillé'!BK22</f>
        <v/>
      </c>
      <c r="J63">
        <f>'Benchmark détaillé'!BK23</f>
        <v/>
      </c>
      <c r="K63" s="12">
        <f>IFERROR((H63-I63)/H63*100,"")</f>
        <v/>
      </c>
      <c r="L63" s="12">
        <f>IFERROR((I63-J63)/I63*100,"")</f>
        <v/>
      </c>
      <c r="M63" s="12">
        <f>IFERROR(I63/(E63/1000),"")</f>
        <v/>
      </c>
      <c r="N63" s="12">
        <f>IFERROR(I63/(F63*G63),"")</f>
        <v/>
      </c>
      <c r="O63">
        <f>'Benchmark détaillé'!BK31</f>
        <v/>
      </c>
      <c r="P63">
        <f>'Benchmark détaillé'!BK32</f>
        <v/>
      </c>
      <c r="Q63" s="12">
        <f>IFERROR(VLOOKUP(A63,'Discounts par marque'!$A:$G,4,FALSE),0)</f>
        <v/>
      </c>
      <c r="R63" s="12">
        <f>IFERROR(VLOOKUP(A63,'Discounts par marque'!$A:$G,5,FALSE),0)</f>
        <v/>
      </c>
      <c r="S63" s="12">
        <f>IFERROR(I63*(1-Q63/100),"")</f>
        <v/>
      </c>
      <c r="T63" s="12">
        <f>IFERROR(S63/(F63*G63),"")</f>
        <v/>
      </c>
      <c r="U63" s="12">
        <f>IFERROR(I63*(1-R63/100),"")</f>
        <v/>
      </c>
      <c r="V63" s="12">
        <f>IFERROR(U63/(F63*G63),"")</f>
        <v/>
      </c>
      <c r="W63" t="inlineStr">
        <is>
          <t>https://shop.biotechusa.fr/products/100-pure-whey-renouvele-1000-g</t>
        </is>
      </c>
      <c r="X63" t="inlineStr">
        <is>
          <t>GROS ÉCART : site marque 54.90€ vs idealo 27.02€ (-51%). Cross-retailers beaucoup moins cher.</t>
        </is>
      </c>
    </row>
    <row r="64">
      <c r="A64">
        <f>'Benchmark détaillé'!BL1</f>
        <v/>
      </c>
      <c r="B64" t="inlineStr">
        <is>
          <t>100% Pure Whey 2000g</t>
        </is>
      </c>
      <c r="C64">
        <f>'Benchmark détaillé'!BL4</f>
        <v/>
      </c>
      <c r="D64">
        <f>'Benchmark détaillé'!BL10</f>
        <v/>
      </c>
      <c r="E64">
        <f>'Benchmark détaillé'!BL5</f>
        <v/>
      </c>
      <c r="F64">
        <f>'Benchmark détaillé'!BL15</f>
        <v/>
      </c>
      <c r="G64">
        <f>'Benchmark détaillé'!BL13</f>
        <v/>
      </c>
      <c r="H64">
        <f>'Benchmark détaillé'!BL21</f>
        <v/>
      </c>
      <c r="I64">
        <f>'Benchmark détaillé'!BL22</f>
        <v/>
      </c>
      <c r="J64">
        <f>'Benchmark détaillé'!BL23</f>
        <v/>
      </c>
      <c r="K64" s="12">
        <f>IFERROR((H64-I64)/H64*100,"")</f>
        <v/>
      </c>
      <c r="L64" s="12">
        <f>IFERROR((I64-J64)/I64*100,"")</f>
        <v/>
      </c>
      <c r="M64" s="12">
        <f>IFERROR(I64/(E64/1000),"")</f>
        <v/>
      </c>
      <c r="N64" s="12">
        <f>IFERROR(I64/(F64*G64),"")</f>
        <v/>
      </c>
      <c r="O64">
        <f>'Benchmark détaillé'!BL31</f>
        <v/>
      </c>
      <c r="P64">
        <f>'Benchmark détaillé'!BL32</f>
        <v/>
      </c>
      <c r="Q64" s="12">
        <f>IFERROR(VLOOKUP(A64,'Discounts par marque'!$A:$G,4,FALSE),0)</f>
        <v/>
      </c>
      <c r="R64" s="12">
        <f>IFERROR(VLOOKUP(A64,'Discounts par marque'!$A:$G,5,FALSE),0)</f>
        <v/>
      </c>
      <c r="S64" s="12">
        <f>IFERROR(I64*(1-Q64/100),"")</f>
        <v/>
      </c>
      <c r="T64" s="12">
        <f>IFERROR(S64/(F64*G64),"")</f>
        <v/>
      </c>
      <c r="U64" s="12">
        <f>IFERROR(I64*(1-R64/100),"")</f>
        <v/>
      </c>
      <c r="V64" s="12">
        <f>IFERROR(U64/(F64*G64),"")</f>
        <v/>
      </c>
      <c r="W64" t="inlineStr">
        <is>
          <t>https://shop.biotechusa.fr/products/100-pure-whey-2000-g</t>
        </is>
      </c>
      <c r="X64" t="inlineStr">
        <is>
          <t>Cohérent avec 1kg : site marque surcoté vs cross-retailers (~-40-50%)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6" customWidth="1" min="3" max="3"/>
    <col width="16" customWidth="1" min="4" max="4"/>
    <col width="16" customWidth="1" min="5" max="5"/>
    <col width="16" customWidth="1" min="6" max="6"/>
    <col width="18" customWidth="1" min="7" max="7"/>
    <col width="16" customWidth="1" min="8" max="8"/>
    <col width="34" customWidth="1" min="9" max="9"/>
    <col width="10" customWidth="1" min="10" max="10"/>
    <col width="30" customWidth="1" min="11" max="11"/>
    <col width="40" customWidth="1" min="12" max="12"/>
    <col width="40" customWidth="1" min="13" max="13"/>
  </cols>
  <sheetData>
    <row r="1">
      <c r="A1" s="21" t="inlineStr">
        <is>
          <t>Marque</t>
        </is>
      </c>
      <c r="B1" s="21" t="inlineStr">
        <is>
          <t>1ère cmd (%)</t>
        </is>
      </c>
      <c r="C1" s="21" t="inlineStr">
        <is>
          <t>Remise bas fourchette (%)</t>
        </is>
      </c>
      <c r="D1" s="21" t="inlineStr">
        <is>
          <t>Remise client standard (%)</t>
        </is>
      </c>
      <c r="E1" s="21" t="inlineStr">
        <is>
          <t>Remise client averti (%)</t>
        </is>
      </c>
      <c r="F1" s="21" t="inlineStr">
        <is>
          <t>Remise plafond observé (%)</t>
        </is>
      </c>
      <c r="G1" s="21" t="inlineStr">
        <is>
          <t>% prix réel vs catalogue</t>
        </is>
      </c>
      <c r="H1" s="21" t="inlineStr">
        <is>
          <t>Fréquence promo</t>
        </is>
      </c>
      <c r="I1" s="21" t="inlineStr">
        <is>
          <t>Codes (top 5)</t>
        </is>
      </c>
      <c r="J1" s="21" t="inlineStr">
        <is>
          <t>N codes sourcés</t>
        </is>
      </c>
      <c r="K1" s="21" t="inlineStr">
        <is>
          <t>Règles stacking</t>
        </is>
      </c>
      <c r="L1" s="21" t="inlineStr">
        <is>
          <t>Note</t>
        </is>
      </c>
      <c r="M1" s="21" t="inlineStr">
        <is>
          <t>Sources</t>
        </is>
      </c>
    </row>
    <row r="2" ht="95" customHeight="1">
      <c r="A2" s="10" t="inlineStr">
        <is>
          <t>IMPULSE</t>
        </is>
      </c>
      <c r="B2" s="10" t="n">
        <v>10</v>
      </c>
      <c r="C2" s="10" t="n">
        <v>15</v>
      </c>
      <c r="D2" s="10" t="n">
        <v>15</v>
      </c>
      <c r="E2" s="10" t="n">
        <v>15</v>
      </c>
      <c r="F2" s="10" t="n">
        <v>15</v>
      </c>
      <c r="G2" s="10" t="n">
        <v>85</v>
      </c>
      <c r="H2" s="10" t="inlineStr">
        <is>
          <t>ponctuel</t>
        </is>
      </c>
      <c r="I2" s="10" t="inlineStr">
        <is>
          <t>LORENA 15% (@lorena)</t>
        </is>
      </c>
      <c r="J2" s="10" t="n">
        <v>1</v>
      </c>
      <c r="K2" s="10" t="inlineStr">
        <is>
          <t>10% première commande ne stacke pas avec code ambassadeur; parrainage 15% sur 1ère commande + 10% parrain</t>
        </is>
      </c>
      <c r="L2" s="10" t="inlineStr">
        <is>
          <t>Politique -10% bienvenue homepage; codes ambassadeurs typiquement 15%. Pas de promo quasi-permanente publique.</t>
        </is>
      </c>
      <c r="M2" s="10" t="inlineStr">
        <is>
          <t>https://impulse-nutrition.fr
https://impulse-nutrition.fr/pages/refer
https://fr.hotdeals.com/code-promo/impulse-nutrition</t>
        </is>
      </c>
    </row>
    <row r="3" ht="95" customHeight="1">
      <c r="A3" s="10" t="inlineStr">
        <is>
          <t>NUTRIPURE</t>
        </is>
      </c>
      <c r="B3" s="10" t="n">
        <v>10</v>
      </c>
      <c r="C3" s="10" t="n"/>
      <c r="D3" s="10" t="n"/>
      <c r="E3" s="10" t="n"/>
      <c r="F3" s="10" t="n"/>
      <c r="G3" s="10" t="n"/>
      <c r="H3" s="10" t="inlineStr">
        <is>
          <t>aucun</t>
        </is>
      </c>
      <c r="I3" s="10" t="inlineStr"/>
      <c r="J3" s="10" t="n">
        <v>0</v>
      </c>
      <c r="K3" s="10" t="inlineStr">
        <is>
          <t>Pas de cumul; 10% fidélité + 10% packs intégré</t>
        </is>
      </c>
      <c r="L3" s="10" t="inlineStr">
        <is>
          <t>Politique anti-promo délibérée. Pas de Black Friday, pas de codes influenceurs &gt;10%. Seuls le parrainage (10%) et les packs (10-25% intégrés) existent. Le prix catalogue est le vrai prix.</t>
        </is>
      </c>
      <c r="M3" s="10" t="inlineStr">
        <is>
          <t>https://www.nutripure.fr/fr/info/29-code-promo-nutripure
https://www.edp-nutrition.fr/code-promo-nutripure-influenceur/</t>
        </is>
      </c>
    </row>
    <row r="4" ht="95" customHeight="1">
      <c r="A4" s="10" t="inlineStr">
        <is>
          <t>NUTRIMUSCLE</t>
        </is>
      </c>
      <c r="B4" s="10" t="n"/>
      <c r="C4" s="10" t="n">
        <v>10</v>
      </c>
      <c r="D4" s="10" t="n">
        <v>10</v>
      </c>
      <c r="E4" s="10" t="n">
        <v>10</v>
      </c>
      <c r="F4" s="10" t="n">
        <v>10</v>
      </c>
      <c r="G4" s="10" t="n">
        <v>90</v>
      </c>
      <c r="H4" s="10" t="inlineStr">
        <is>
          <t>ponctuel</t>
        </is>
      </c>
      <c r="I4" s="10" t="inlineStr">
        <is>
          <t>NMA_HYBRIDX5 10% (@valentingenest)
NME_NABFIT 5% (@nabfit)
NME_NUTRITION5 5% (générique)</t>
        </is>
      </c>
      <c r="J4" s="10" t="n">
        <v>3</v>
      </c>
      <c r="K4" s="10" t="inlineStr">
        <is>
          <t>Codes 5-10% cumulables avec packs réduits; ventes -20% saisonnières</t>
        </is>
      </c>
      <c r="L4" s="10" t="inlineStr">
        <is>
          <t>Politique codes influenceurs très modérés (5-10%, rarement 15%). Promos -20% uniquement en périodes soldes/Black Friday.</t>
        </is>
      </c>
      <c r="M4" s="10" t="inlineStr">
        <is>
          <t>https://www.dealabs.com/codes-promo/nutrimuscle.com
https://eu.nutrimuscle.com/pages/nos-offres
https://www.influenceur.promo/marques/nutrimuscle/</t>
        </is>
      </c>
    </row>
    <row r="5" ht="95" customHeight="1">
      <c r="A5" s="10" t="inlineStr">
        <is>
          <t>NUTRI&amp;CO</t>
        </is>
      </c>
      <c r="B5" s="10" t="n">
        <v>10</v>
      </c>
      <c r="C5" s="10" t="n">
        <v>10</v>
      </c>
      <c r="D5" s="10" t="n">
        <v>10</v>
      </c>
      <c r="E5" s="10" t="n">
        <v>10</v>
      </c>
      <c r="F5" s="10" t="n">
        <v>10</v>
      </c>
      <c r="G5" s="10" t="n">
        <v>90</v>
      </c>
      <c r="H5" s="10" t="inlineStr">
        <is>
          <t>ponctuel</t>
        </is>
      </c>
      <c r="I5" s="10" t="inlineStr">
        <is>
          <t>LESAVISDEMILIE10 10% (@lesavisdemilie)
FITBYALEXIA 10% (@fitbyalexia)</t>
        </is>
      </c>
      <c r="J5" s="10" t="n">
        <v>2</v>
      </c>
      <c r="K5" s="10" t="inlineStr">
        <is>
          <t>Codes plafonnés à 10%, durée limitée</t>
        </is>
      </c>
      <c r="L5" s="10" t="inlineStr">
        <is>
          <t>Politique codes influenceurs plafonnée à 10%. Positionnement santé/premium, promos modérées.</t>
        </is>
      </c>
      <c r="M5" s="10" t="inlineStr">
        <is>
          <t>https://www.influenceur.promo/marques/nutrico/
https://www.edp-nutrition.fr/code-promo-nutri-and-co-influenceur/</t>
        </is>
      </c>
    </row>
    <row r="6" ht="95" customHeight="1">
      <c r="A6" s="10" t="inlineStr">
        <is>
          <t>AQEELAB</t>
        </is>
      </c>
      <c r="B6" s="10" t="n">
        <v>15</v>
      </c>
      <c r="C6" s="10" t="n">
        <v>12</v>
      </c>
      <c r="D6" s="10" t="n">
        <v>12</v>
      </c>
      <c r="E6" s="10" t="n">
        <v>12</v>
      </c>
      <c r="F6" s="10" t="n">
        <v>12</v>
      </c>
      <c r="G6" s="10" t="n">
        <v>88</v>
      </c>
      <c r="H6" s="10" t="inlineStr">
        <is>
          <t>quasi-permanent</t>
        </is>
      </c>
      <c r="I6" s="10" t="inlineStr">
        <is>
          <t>LEVAND 20% (@alex.levand)
TRISTAN15 15% (@tristan)
CREATINATOR 10% (@creatinator)</t>
        </is>
      </c>
      <c r="J6" s="10" t="n">
        <v>3</v>
      </c>
      <c r="K6" s="10" t="inlineStr">
        <is>
          <t>Codes sans minimum, sans date d'expiration, année entière</t>
        </is>
      </c>
      <c r="L6" s="10" t="inlineStr">
        <is>
          <t>Page officielle liste tous les codes (-5/-10/-15%/-25€). Politique transparente, codes stables toute l'année.</t>
        </is>
      </c>
      <c r="M6" s="10" t="inlineStr">
        <is>
          <t>https://www.aqeelab-nutrition.fr/pages/des-conseils-des-infos-et-des-reductions
https://nabfit.fr/complements-alimentaires-musculation/pas-chers/codes-promo/aqeelab-nutrition/</t>
        </is>
      </c>
    </row>
    <row r="7" ht="95" customHeight="1">
      <c r="A7" s="10" t="inlineStr">
        <is>
          <t>ERIC FAVRE</t>
        </is>
      </c>
      <c r="B7" s="10" t="n">
        <v>10</v>
      </c>
      <c r="C7" s="10" t="n">
        <v>10</v>
      </c>
      <c r="D7" s="10" t="n">
        <v>10</v>
      </c>
      <c r="E7" s="10" t="n">
        <v>15</v>
      </c>
      <c r="F7" s="10" t="n">
        <v>20</v>
      </c>
      <c r="G7" s="10" t="n">
        <v>85</v>
      </c>
      <c r="H7" s="10" t="inlineStr">
        <is>
          <t>quasi-permanent</t>
        </is>
      </c>
      <c r="I7" s="10" t="inlineStr">
        <is>
          <t>SUPER20 20% (code site (&gt;=120€))
NPNG20 20% (code événementiel)
BODY15 15% (code partenaire)
EFNFC10 10% (@essan_nfc)
FAVRE10 10% (code site générique)</t>
        </is>
      </c>
      <c r="J7" s="10" t="n">
        <v>6</v>
      </c>
      <c r="K7" s="10" t="inlineStr">
        <is>
          <t>Programme influenceur limité (~5 ambassadeurs identifiés). Codes site 10% no-min, 20% SUPER20 avec min 120€. Pas de cumul.</t>
        </is>
      </c>
      <c r="L7" s="10" t="inlineStr">
        <is>
          <t>Programme ambassadeur très modeste — Eric Favre est positionné plus pharmacie/pro-sport que fitness mass-market. Essan NFC est le seul vrai ambassadeur agrégé avec 1087 utilisations. P50=10%, P90=15%. Client averti paye ~85% du catalogue.</t>
        </is>
      </c>
      <c r="M7" s="10" t="inlineStr">
        <is>
          <t>https://www.ericfavre.com/fr_fr/reductions-codes-promo
https://www.influenceur.promo/marques/eric-favre/
https://fr.hotdeals.com/store/code-promo-eric-favre</t>
        </is>
      </c>
    </row>
    <row r="8" ht="95" customHeight="1">
      <c r="A8" s="10" t="inlineStr">
        <is>
          <t>EAFIT</t>
        </is>
      </c>
      <c r="B8" s="10" t="n">
        <v>30</v>
      </c>
      <c r="C8" s="10" t="n">
        <v>20</v>
      </c>
      <c r="D8" s="10" t="n">
        <v>32</v>
      </c>
      <c r="E8" s="10" t="n">
        <v>32</v>
      </c>
      <c r="F8" s="10" t="n">
        <v>35</v>
      </c>
      <c r="G8" s="10" t="n">
        <v>68</v>
      </c>
      <c r="H8" s="10" t="inlineStr">
        <is>
          <t>quasi-permanent</t>
        </is>
      </c>
      <c r="I8" s="10" t="inlineStr">
        <is>
          <t>CPS32 32% (@tamara.awada)
MARION32 32% (@mrsmariont)
MATHILDE32 32% (@mathildegros)
TATIANA32 32% (@tatianamembre)
ILONA32 32% (@ilonafrigout)</t>
        </is>
      </c>
      <c r="J8" s="10" t="n">
        <v>10</v>
      </c>
      <c r="K8" s="10" t="inlineStr">
        <is>
          <t>Programme français standardisé à 32% (suffixe *32 sur 8+ codes récents). Ancien programme 20% résiduel (EMILIE20). Code site FIT25=25% + pack offert dès 60€. Pas de cumul code influenceur + FIT25.</t>
        </is>
      </c>
      <c r="L8" s="10" t="inlineStr">
        <is>
          <t>Programme ambassadeur UPGRADÉ à 32% (vs 20% historique). Client averti paye ~68% du catalogue via code CPS32/MARION32. Plus agressif qu'attendu pour une marque française.</t>
        </is>
      </c>
      <c r="M8" s="10" t="inlineStr">
        <is>
          <t>https://www.eafit.com/deals-du-moment.html
https://www.influenceur.promo/marques/ea-fit/
https://www.lesavisdemilie.fr/code-promo-eafit/</t>
        </is>
      </c>
    </row>
    <row r="9" ht="95" customHeight="1">
      <c r="A9" s="10" t="inlineStr">
        <is>
          <t>DECATHLON</t>
        </is>
      </c>
      <c r="B9" s="10" t="n"/>
      <c r="C9" s="10" t="n"/>
      <c r="D9" s="10" t="n"/>
      <c r="E9" s="10" t="n"/>
      <c r="F9" s="10" t="n"/>
      <c r="G9" s="10" t="n"/>
      <c r="H9" s="10" t="inlineStr">
        <is>
          <t>ponctuel</t>
        </is>
      </c>
      <c r="I9" s="10" t="inlineStr"/>
      <c r="J9" s="10" t="n">
        <v>0</v>
      </c>
      <c r="K9" s="10" t="n"/>
      <c r="L9" s="10" t="inlineStr">
        <is>
          <t>Corength / Aptonia sans programme d'affiliation influenceur structuré. Prix catalogue stables, promos seulement lors soldes Decathlon globales.</t>
        </is>
      </c>
      <c r="M9" s="10" t="inlineStr">
        <is>
          <t>https://www.decathlon.fr/nutrition-sante/whey-proteines
https://www.lareduction.fr/s/decathlon.fr</t>
        </is>
      </c>
    </row>
    <row r="10" ht="95" customHeight="1">
      <c r="A10" s="10" t="inlineStr">
        <is>
          <t>BULK</t>
        </is>
      </c>
      <c r="B10" s="10" t="n">
        <v>15</v>
      </c>
      <c r="C10" s="10" t="n">
        <v>25</v>
      </c>
      <c r="D10" s="10" t="n">
        <v>45</v>
      </c>
      <c r="E10" s="10" t="n">
        <v>45</v>
      </c>
      <c r="F10" s="10" t="n">
        <v>45</v>
      </c>
      <c r="G10" s="10" t="n">
        <v>55</v>
      </c>
      <c r="H10" s="10" t="inlineStr">
        <is>
          <t>quasi-permanent</t>
        </is>
      </c>
      <c r="I10" s="10" t="inlineStr">
        <is>
          <t>BUDDY45 45% (@tristandefeuilletvang)
TWINS 45% (@twinsb_fit)
ARTHUR 45% (@arthurbenedetti)
LIFTIT 45% (@hugophilip)
ALIX 45% (@alixmhd)</t>
        </is>
      </c>
      <c r="J10" s="10" t="n">
        <v>10</v>
      </c>
      <c r="K10" s="10" t="inlineStr">
        <is>
          <t>Distribution quasi monolithique à 45% (codes récents 2024-2026) + reliquat 20-25% (codes anciens). Site affiche 'jusqu'à -75%' en homepage (cumul produit-promo + code). Flash sales 'Bulk Week' -50/-70% ponctuelles. Code influenceur ne stacke pas avec flash sale.</t>
        </is>
      </c>
      <c r="L10" s="10" t="inlineStr">
        <is>
          <t>Programme ULTRA-STANDARDISÉ : 20+ ambassadeurs au même code 45%. Tes 30% initiaux étaient largement sous-estimés — P50 réel = 45%. Site-wide banner '-75%' atteint via cumul. Client averti paye ~55% du catalogue.</t>
        </is>
      </c>
      <c r="M10" s="10" t="inlineStr">
        <is>
          <t>https://www.influenceur.promo/marques/bulk-powders/
https://www.lesavisdemilie.fr/code-promo-bulk/
https://www.savoo.fr/marques/codes-promo-bulk</t>
        </is>
      </c>
    </row>
    <row r="11" ht="95" customHeight="1">
      <c r="A11" s="10" t="inlineStr">
        <is>
          <t>MYPROTEIN</t>
        </is>
      </c>
      <c r="B11" s="10" t="n">
        <v>40</v>
      </c>
      <c r="C11" s="10" t="n">
        <v>20</v>
      </c>
      <c r="D11" s="10" t="n">
        <v>42</v>
      </c>
      <c r="E11" s="10" t="n">
        <v>50</v>
      </c>
      <c r="F11" s="10" t="n">
        <v>55</v>
      </c>
      <c r="G11" s="10" t="n">
        <v>52</v>
      </c>
      <c r="H11" s="10" t="inlineStr">
        <is>
          <t>quasi-permanent</t>
        </is>
      </c>
      <c r="I11" s="10" t="inlineStr">
        <is>
          <t>MELISSAT 55% (@melissathiebaut)
BUDDY 50% (@tristandefeuilletvang)
PAUL 50% (@pauldenisnavero)
TURBOTIFF 50% (@tiffanychapon)
TDYPARKER 50% (@tdyparker)</t>
        </is>
      </c>
      <c r="J11" s="10" t="n">
        <v>12</v>
      </c>
      <c r="K11" s="10" t="inlineStr">
        <is>
          <t>Site affiche en permanence 'up to 55% off' en bandeau homepage. Codes influenceurs NE se cumulent PAS avec flash sale site — le plus élevé s'applique, typiquement code influenceur 42-50% remplace promo 30-40% base.</t>
        </is>
      </c>
      <c r="L11" s="10" t="inlineStr">
        <is>
          <t>PRIX CATALOGUE TOTALEMENT FICTIF. Promo permanente 30-55% en bandeau site. P50 codes influenceurs = 42%, P90 = 50%, max = 55%. Le client averti applique systématiquement un code 50% → paye ~50% du catalogue. Les 35% initiaux étaient largement sous-estimés (~P25).</t>
        </is>
      </c>
      <c r="M11" s="10" t="inlineStr">
        <is>
          <t>https://www.influenceur.promo/marques/myprotein/
https://kotag.co/marques/codes-promo-myprotein/
https://www.codes-promo-influenceurs.fr/marques/myprotein
https://fr.myprotein.com/c/nouveaux-clients/</t>
        </is>
      </c>
    </row>
    <row r="12" ht="95" customHeight="1">
      <c r="A12" s="10" t="inlineStr">
        <is>
          <t>PROZIS</t>
        </is>
      </c>
      <c r="B12" s="10" t="n">
        <v>10</v>
      </c>
      <c r="C12" s="10" t="n">
        <v>10</v>
      </c>
      <c r="D12" s="10" t="n">
        <v>10</v>
      </c>
      <c r="E12" s="10" t="n">
        <v>20</v>
      </c>
      <c r="F12" s="10" t="n">
        <v>50</v>
      </c>
      <c r="G12" s="10" t="n">
        <v>65</v>
      </c>
      <c r="H12" s="10" t="inlineStr">
        <is>
          <t>quasi-permanent</t>
        </is>
      </c>
      <c r="I12" s="10" t="inlineStr">
        <is>
          <t>19YEARS 50% (flash sale anniversaire)
MADNESS 40% (flash sale site)
KEONII 10% (@keonii)
LAURAPETARD 10% (@laurapetard)
QFITLIFE 10% (@quentin-fitlife)</t>
        </is>
      </c>
      <c r="J12" s="10" t="n">
        <v>10</v>
      </c>
      <c r="K12" s="10" t="inlineStr">
        <is>
          <t>Codes influenceurs standardisés à 10% — cumul PARTIEL avec promos produit (pack, outlet) mais PAS avec flash sales (MADNESS, 19YEARS, BLACKWEEK à 40-50%). Site en permanence avec produits -30 à -50% en outlet.</t>
        </is>
      </c>
      <c r="L12" s="10" t="inlineStr">
        <is>
          <t>Très modéré côté influenceurs (10% dominant) mais les flash sales saisonnières (MADNESS, 19YEARS) vont jusqu'à 50%. Client averti attend une flash sale pour commander. P50 codes quotidiens = 10%, P90 = 20% (outlet), max = 50% (flash sale).</t>
        </is>
      </c>
      <c r="M12" s="10" t="inlineStr">
        <is>
          <t>https://www.influenceur.promo/marques/prozis/
https://fr.promocodie.com/code/code-promo-prozis-influenceur</t>
        </is>
      </c>
    </row>
    <row r="13" ht="95" customHeight="1">
      <c r="A13" s="10" t="inlineStr">
        <is>
          <t>FOODSPRING</t>
        </is>
      </c>
      <c r="B13" s="10" t="n">
        <v>10</v>
      </c>
      <c r="C13" s="10" t="n">
        <v>15</v>
      </c>
      <c r="D13" s="10" t="n">
        <v>15</v>
      </c>
      <c r="E13" s="10" t="n">
        <v>20</v>
      </c>
      <c r="F13" s="10" t="n">
        <v>30</v>
      </c>
      <c r="G13" s="10" t="n">
        <v>85</v>
      </c>
      <c r="H13" s="10" t="inlineStr">
        <is>
          <t>quasi-permanent</t>
        </is>
      </c>
      <c r="I13" s="10" t="inlineStr">
        <is>
          <t>FOODSPRING30 30% (site code évènementiel)
FS20SALE 20% (@yamina_niya)
ALIZOUFSG 20% (@alizeeandreani)
JUJUFSG 20% (@juliecfs)
JESSICA15 15% (@jessicathivenin)</t>
        </is>
      </c>
      <c r="J13" s="10" t="n">
        <v>10</v>
      </c>
      <c r="K13" s="10" t="inlineStr">
        <is>
          <t>Programme ultra-standardisé à 15% (60+ codes suffixe *FSG). Remontées ponctuelles à 20% (Black Week, SummerSale). Code site FOODSPRING30 = 30% évènementiel. Pas de cumul entre code influenceur et flash sale.</t>
        </is>
      </c>
      <c r="L13" s="10" t="inlineStr">
        <is>
          <t>Très conservateur (15% dominant, ~85% des codes). Stratégie Foodspring = premium, moins de guerre des prix que MyProtein/Bulk. P50 = 15% fiable, P90 = 20%. Client averti paye ~85% du catalogue.</t>
        </is>
      </c>
      <c r="M13" s="10" t="inlineStr">
        <is>
          <t>https://www.influenceur.promo/marques/foodspring/
https://vivremoinscher.fr/stores/foodspring-coupons/</t>
        </is>
      </c>
    </row>
    <row r="14" ht="95" customHeight="1">
      <c r="A14" s="10" t="inlineStr">
        <is>
          <t>ESN</t>
        </is>
      </c>
      <c r="B14" s="10" t="n">
        <v>10</v>
      </c>
      <c r="C14" s="10" t="n">
        <v>15</v>
      </c>
      <c r="D14" s="10" t="n">
        <v>20</v>
      </c>
      <c r="E14" s="10" t="n">
        <v>25</v>
      </c>
      <c r="F14" s="10" t="n">
        <v>30</v>
      </c>
      <c r="G14" s="10" t="n">
        <v>80</v>
      </c>
      <c r="H14" s="10" t="inlineStr">
        <is>
          <t>quasi-permanent</t>
        </is>
      </c>
      <c r="I14" s="10" t="inlineStr">
        <is>
          <t>ELENA 20% (@elena.ntns)
KIMMIE 20% (@kimmieous)
LEON 20% (@leonidas_arkona)
LARA 20% (@laraemilia)
KEVIN 20% (@wolterkevin)</t>
        </is>
      </c>
      <c r="J14" s="10" t="n">
        <v>8</v>
      </c>
      <c r="K14" s="10" t="inlineStr">
        <is>
          <t>Programme allemand standardisé à 20%. 'Performance Week' et flash sales site jusqu'à 40-50%, pas de cumul. Discounts site ciblés par catégorie (10% outlet, 20% selected, 50% certains variants).</t>
        </is>
      </c>
      <c r="L14" s="10" t="inlineStr">
        <is>
          <t>Distribution très uniforme à 20% (tous ambassadeurs). Max 25% sur promos saisonales. Moins agressif que MyProtein/Bulk. Client paye ~80% du catalogue.</t>
        </is>
      </c>
      <c r="M14" s="10" t="inlineStr">
        <is>
          <t>https://www.influencercodes.de/marken/esn/
https://suppwiser.de/rabattcodes/esn-rabattcode/
https://fr.coupert.com/codes-promo/esn-com</t>
        </is>
      </c>
    </row>
    <row r="15" ht="95" customHeight="1">
      <c r="A15" s="10" t="inlineStr">
        <is>
          <t>BIOTECHUSA</t>
        </is>
      </c>
      <c r="B15" s="10" t="n">
        <v>10</v>
      </c>
      <c r="C15" s="10" t="n">
        <v>15</v>
      </c>
      <c r="D15" s="10" t="n">
        <v>15</v>
      </c>
      <c r="E15" s="10" t="n">
        <v>20</v>
      </c>
      <c r="F15" s="10" t="n">
        <v>30</v>
      </c>
      <c r="G15" s="10" t="n">
        <v>82</v>
      </c>
      <c r="H15" s="10" t="inlineStr">
        <is>
          <t>quasi-permanent</t>
        </is>
      </c>
      <c r="I15" s="10" t="inlineStr">
        <is>
          <t>SUPER1225 30% (site code évènementiel)
GYM33 20% (@gym33)
JENZO15 15% (@jeanneetenzo)
ANA15 15% (@anastasiyabury)
REMI15 15% (@remi_ragnar)</t>
        </is>
      </c>
      <c r="J15" s="10" t="n">
        <v>6</v>
      </c>
      <c r="K15" s="10" t="inlineStr">
        <is>
          <t>Programme ambassadeurs à 15% fixe (TRND + partenariats directs). Codes site évènementiels jusqu'à 30-40%. Programme de fidélité cumulable avec code influenceur selon ambassadeur.</t>
        </is>
      </c>
      <c r="L15" s="10" t="inlineStr">
        <is>
          <t>Programme modeste : 15% standard, rarement au-delà de 20%. BiotechUSA = marque hongroise low-cost de base. P50 = 15% très fiable. Client paye ~82% du catalogue.</t>
        </is>
      </c>
      <c r="M15" s="10" t="inlineStr">
        <is>
          <t>https://shop.biotechusa.fr/collections/promotion-mensuelle-automatique
https://shop.biotechusa.fr/pages/loyalty-program
https://kotag.co/marques/codes-promo-biotechusa/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5"/>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30" customWidth="1" min="3" max="3"/>
    <col width="10" customWidth="1" min="4" max="4"/>
    <col width="13" customWidth="1" min="5" max="5"/>
    <col width="13" customWidth="1" min="6" max="6"/>
    <col width="13" customWidth="1" min="7" max="7"/>
    <col width="18" customWidth="1" min="8" max="8"/>
    <col width="18" customWidth="1" min="9" max="9"/>
    <col width="22" customWidth="1" min="10" max="10"/>
    <col width="18" customWidth="1" min="11" max="11"/>
    <col width="22" customWidth="1" min="12" max="12"/>
    <col width="16" customWidth="1" min="13" max="13"/>
  </cols>
  <sheetData>
    <row r="1" ht="55" customHeight="1">
      <c r="A1" s="22" t="inlineStr">
        <is>
          <t>Classement par 'Prix client standard / g protéine' croissant (#1 = meilleur rapport qualité/prix pour un client avec un code ambassadeur typique). Les valeurs chiffrées sont des formules live référençant l'onglet 'Synthèse prix'. Seul l'ordre de tri est figé au build. Si tu modifies un prix/remise dans Synthèse ou Discounts, les valeurs ici se mettent à jour. Pour réordonner le classement après une modif majeure, regénère le xlsx.</t>
        </is>
      </c>
    </row>
    <row r="2">
      <c r="A2" s="21" t="inlineStr">
        <is>
          <t>Rang</t>
        </is>
      </c>
      <c r="B2" s="21" t="inlineStr">
        <is>
          <t>Marque</t>
        </is>
      </c>
      <c r="C2" s="21" t="inlineStr">
        <is>
          <t>Produit</t>
        </is>
      </c>
      <c r="D2" s="21" t="inlineStr">
        <is>
          <t>Format</t>
        </is>
      </c>
      <c r="E2" s="21" t="inlineStr">
        <is>
          <t>Prix nominal</t>
        </is>
      </c>
      <c r="F2" s="21" t="inlineStr">
        <is>
          <t>Prix actuel</t>
        </is>
      </c>
      <c r="G2" s="21" t="inlineStr">
        <is>
          <t>Prix marché</t>
        </is>
      </c>
      <c r="H2" s="21" t="inlineStr">
        <is>
          <t>Prix actuel /g prot</t>
        </is>
      </c>
      <c r="I2" s="21" t="inlineStr">
        <is>
          <t>Prix client standard</t>
        </is>
      </c>
      <c r="J2" s="21" t="inlineStr">
        <is>
          <t>Prix client standard /g prot</t>
        </is>
      </c>
      <c r="K2" s="21" t="inlineStr">
        <is>
          <t>Prix client averti</t>
        </is>
      </c>
      <c r="L2" s="21" t="inlineStr">
        <is>
          <t>Prix client averti /g prot</t>
        </is>
      </c>
      <c r="M2" s="21" t="inlineStr">
        <is>
          <t>Remise standard (%)</t>
        </is>
      </c>
    </row>
    <row r="3">
      <c r="A3" t="n">
        <v>1</v>
      </c>
      <c r="B3">
        <f>'Synthèse prix'!A46</f>
        <v/>
      </c>
      <c r="C3" t="inlineStr">
        <is>
          <t>Impact Whey Protein 2,5kg</t>
        </is>
      </c>
      <c r="D3" t="inlineStr">
        <is>
          <t>2.5kg</t>
        </is>
      </c>
      <c r="E3" s="12">
        <f>'Synthèse prix'!H46</f>
        <v/>
      </c>
      <c r="F3" s="12">
        <f>'Synthèse prix'!I46</f>
        <v/>
      </c>
      <c r="G3" s="12">
        <f>'Synthèse prix'!J46</f>
        <v/>
      </c>
      <c r="H3" s="12">
        <f>'Synthèse prix'!N46</f>
        <v/>
      </c>
      <c r="I3" s="12">
        <f>'Synthèse prix'!S46</f>
        <v/>
      </c>
      <c r="J3" s="12">
        <f>'Synthèse prix'!T46</f>
        <v/>
      </c>
      <c r="K3" s="12">
        <f>'Synthèse prix'!U46</f>
        <v/>
      </c>
      <c r="L3" s="12">
        <f>'Synthèse prix'!V46</f>
        <v/>
      </c>
      <c r="M3" s="12">
        <f>'Synthèse prix'!Q46</f>
        <v/>
      </c>
    </row>
    <row r="4">
      <c r="A4" t="n">
        <v>2</v>
      </c>
      <c r="B4">
        <f>'Synthèse prix'!A45</f>
        <v/>
      </c>
      <c r="C4" t="inlineStr">
        <is>
          <t>Impact Whey Protein 1kg</t>
        </is>
      </c>
      <c r="D4" t="inlineStr">
        <is>
          <t>1kg</t>
        </is>
      </c>
      <c r="E4" s="12">
        <f>'Synthèse prix'!H45</f>
        <v/>
      </c>
      <c r="F4" s="12">
        <f>'Synthèse prix'!I45</f>
        <v/>
      </c>
      <c r="G4" s="12">
        <f>'Synthèse prix'!J45</f>
        <v/>
      </c>
      <c r="H4" s="12">
        <f>'Synthèse prix'!N45</f>
        <v/>
      </c>
      <c r="I4" s="12">
        <f>'Synthèse prix'!S45</f>
        <v/>
      </c>
      <c r="J4" s="12">
        <f>'Synthèse prix'!T45</f>
        <v/>
      </c>
      <c r="K4" s="12">
        <f>'Synthèse prix'!U45</f>
        <v/>
      </c>
      <c r="L4" s="12">
        <f>'Synthèse prix'!V45</f>
        <v/>
      </c>
      <c r="M4" s="12">
        <f>'Synthèse prix'!Q45</f>
        <v/>
      </c>
    </row>
    <row r="5">
      <c r="A5" t="n">
        <v>3</v>
      </c>
      <c r="B5">
        <f>'Synthèse prix'!A47</f>
        <v/>
      </c>
      <c r="C5" t="inlineStr">
        <is>
          <t>Impact Whey Protein 5kg (Sans arôme)</t>
        </is>
      </c>
      <c r="D5" t="inlineStr">
        <is>
          <t>5kg</t>
        </is>
      </c>
      <c r="E5" s="12">
        <f>'Synthèse prix'!H47</f>
        <v/>
      </c>
      <c r="F5" s="12">
        <f>'Synthèse prix'!I47</f>
        <v/>
      </c>
      <c r="G5" s="12">
        <f>'Synthèse prix'!J47</f>
        <v/>
      </c>
      <c r="H5" s="12">
        <f>'Synthèse prix'!N47</f>
        <v/>
      </c>
      <c r="I5" s="12">
        <f>'Synthèse prix'!S47</f>
        <v/>
      </c>
      <c r="J5" s="12">
        <f>'Synthèse prix'!T47</f>
        <v/>
      </c>
      <c r="K5" s="12">
        <f>'Synthèse prix'!U47</f>
        <v/>
      </c>
      <c r="L5" s="12">
        <f>'Synthèse prix'!V47</f>
        <v/>
      </c>
      <c r="M5" s="12">
        <f>'Synthèse prix'!Q47</f>
        <v/>
      </c>
    </row>
    <row r="6">
      <c r="A6" t="n">
        <v>4</v>
      </c>
      <c r="B6">
        <f>'Synthèse prix'!A40</f>
        <v/>
      </c>
      <c r="C6" t="inlineStr">
        <is>
          <t>Pure Whey Protein 2,5kg</t>
        </is>
      </c>
      <c r="D6" t="inlineStr">
        <is>
          <t>2.5kg</t>
        </is>
      </c>
      <c r="E6" s="12">
        <f>'Synthèse prix'!H40</f>
        <v/>
      </c>
      <c r="F6" s="12">
        <f>'Synthèse prix'!I40</f>
        <v/>
      </c>
      <c r="G6" s="12">
        <f>'Synthèse prix'!J40</f>
        <v/>
      </c>
      <c r="H6" s="12">
        <f>'Synthèse prix'!N40</f>
        <v/>
      </c>
      <c r="I6" s="12">
        <f>'Synthèse prix'!S40</f>
        <v/>
      </c>
      <c r="J6" s="12">
        <f>'Synthèse prix'!T40</f>
        <v/>
      </c>
      <c r="K6" s="12">
        <f>'Synthèse prix'!U40</f>
        <v/>
      </c>
      <c r="L6" s="12">
        <f>'Synthèse prix'!V40</f>
        <v/>
      </c>
      <c r="M6" s="12">
        <f>'Synthèse prix'!Q40</f>
        <v/>
      </c>
    </row>
    <row r="7">
      <c r="A7" t="n">
        <v>5</v>
      </c>
      <c r="B7">
        <f>'Synthèse prix'!A41</f>
        <v/>
      </c>
      <c r="C7" t="inlineStr">
        <is>
          <t>Pure Whey Protein 5kg</t>
        </is>
      </c>
      <c r="D7" t="inlineStr">
        <is>
          <t>5kg</t>
        </is>
      </c>
      <c r="E7" s="12">
        <f>'Synthèse prix'!H41</f>
        <v/>
      </c>
      <c r="F7" s="12">
        <f>'Synthèse prix'!I41</f>
        <v/>
      </c>
      <c r="G7" s="12">
        <f>'Synthèse prix'!J41</f>
        <v/>
      </c>
      <c r="H7" s="12">
        <f>'Synthèse prix'!N41</f>
        <v/>
      </c>
      <c r="I7" s="12">
        <f>'Synthèse prix'!S41</f>
        <v/>
      </c>
      <c r="J7" s="12">
        <f>'Synthèse prix'!T41</f>
        <v/>
      </c>
      <c r="K7" s="12">
        <f>'Synthèse prix'!U41</f>
        <v/>
      </c>
      <c r="L7" s="12">
        <f>'Synthèse prix'!V41</f>
        <v/>
      </c>
      <c r="M7" s="12">
        <f>'Synthèse prix'!Q41</f>
        <v/>
      </c>
    </row>
    <row r="8">
      <c r="A8" t="n">
        <v>6</v>
      </c>
      <c r="B8">
        <f>'Synthèse prix'!A39</f>
        <v/>
      </c>
      <c r="C8" t="inlineStr">
        <is>
          <t>Pure Whey Protein 1kg</t>
        </is>
      </c>
      <c r="D8" t="inlineStr">
        <is>
          <t>1kg</t>
        </is>
      </c>
      <c r="E8" s="12">
        <f>'Synthèse prix'!H39</f>
        <v/>
      </c>
      <c r="F8" s="12">
        <f>'Synthèse prix'!I39</f>
        <v/>
      </c>
      <c r="G8" s="12">
        <f>'Synthèse prix'!J39</f>
        <v/>
      </c>
      <c r="H8" s="12">
        <f>'Synthèse prix'!N39</f>
        <v/>
      </c>
      <c r="I8" s="12">
        <f>'Synthèse prix'!S39</f>
        <v/>
      </c>
      <c r="J8" s="12">
        <f>'Synthèse prix'!T39</f>
        <v/>
      </c>
      <c r="K8" s="12">
        <f>'Synthèse prix'!U39</f>
        <v/>
      </c>
      <c r="L8" s="12">
        <f>'Synthèse prix'!V39</f>
        <v/>
      </c>
      <c r="M8" s="12">
        <f>'Synthèse prix'!Q39</f>
        <v/>
      </c>
    </row>
    <row r="9">
      <c r="A9" t="n">
        <v>7</v>
      </c>
      <c r="B9">
        <f>'Synthèse prix'!A38</f>
        <v/>
      </c>
      <c r="C9" t="inlineStr">
        <is>
          <t>Pure Whey Isolate 2,5kg</t>
        </is>
      </c>
      <c r="D9" t="inlineStr">
        <is>
          <t>2.5kg</t>
        </is>
      </c>
      <c r="E9" s="12">
        <f>'Synthèse prix'!H38</f>
        <v/>
      </c>
      <c r="F9" s="12">
        <f>'Synthèse prix'!I38</f>
        <v/>
      </c>
      <c r="G9" s="12">
        <f>'Synthèse prix'!J38</f>
        <v/>
      </c>
      <c r="H9" s="12">
        <f>'Synthèse prix'!N38</f>
        <v/>
      </c>
      <c r="I9" s="12">
        <f>'Synthèse prix'!S38</f>
        <v/>
      </c>
      <c r="J9" s="12">
        <f>'Synthèse prix'!T38</f>
        <v/>
      </c>
      <c r="K9" s="12">
        <f>'Synthèse prix'!U38</f>
        <v/>
      </c>
      <c r="L9" s="12">
        <f>'Synthèse prix'!V38</f>
        <v/>
      </c>
      <c r="M9" s="12">
        <f>'Synthèse prix'!Q38</f>
        <v/>
      </c>
    </row>
    <row r="10">
      <c r="A10" t="n">
        <v>8</v>
      </c>
      <c r="B10">
        <f>'Synthèse prix'!A59</f>
        <v/>
      </c>
      <c r="C10" t="inlineStr">
        <is>
          <t>Basic Whey 2000g</t>
        </is>
      </c>
      <c r="D10" t="inlineStr">
        <is>
          <t>2kg</t>
        </is>
      </c>
      <c r="E10" s="12">
        <f>'Synthèse prix'!H59</f>
        <v/>
      </c>
      <c r="F10" s="12">
        <f>'Synthèse prix'!I59</f>
        <v/>
      </c>
      <c r="G10" s="12">
        <f>'Synthèse prix'!J59</f>
        <v/>
      </c>
      <c r="H10" s="12">
        <f>'Synthèse prix'!N59</f>
        <v/>
      </c>
      <c r="I10" s="12">
        <f>'Synthèse prix'!S59</f>
        <v/>
      </c>
      <c r="J10" s="12">
        <f>'Synthèse prix'!T59</f>
        <v/>
      </c>
      <c r="K10" s="12">
        <f>'Synthèse prix'!U59</f>
        <v/>
      </c>
      <c r="L10" s="12">
        <f>'Synthèse prix'!V59</f>
        <v/>
      </c>
      <c r="M10" s="12">
        <f>'Synthèse prix'!Q59</f>
        <v/>
      </c>
    </row>
    <row r="11">
      <c r="A11" t="n">
        <v>9</v>
      </c>
      <c r="B11">
        <f>'Synthèse prix'!A37</f>
        <v/>
      </c>
      <c r="C11" t="inlineStr">
        <is>
          <t>Pure Whey Isolate 1kg</t>
        </is>
      </c>
      <c r="D11" t="inlineStr">
        <is>
          <t>1kg</t>
        </is>
      </c>
      <c r="E11" s="12">
        <f>'Synthèse prix'!H37</f>
        <v/>
      </c>
      <c r="F11" s="12">
        <f>'Synthèse prix'!I37</f>
        <v/>
      </c>
      <c r="G11" s="12">
        <f>'Synthèse prix'!J37</f>
        <v/>
      </c>
      <c r="H11" s="12">
        <f>'Synthèse prix'!N37</f>
        <v/>
      </c>
      <c r="I11" s="12">
        <f>'Synthèse prix'!S37</f>
        <v/>
      </c>
      <c r="J11" s="12">
        <f>'Synthèse prix'!T37</f>
        <v/>
      </c>
      <c r="K11" s="12">
        <f>'Synthèse prix'!U37</f>
        <v/>
      </c>
      <c r="L11" s="12">
        <f>'Synthèse prix'!V37</f>
        <v/>
      </c>
      <c r="M11" s="12">
        <f>'Synthèse prix'!Q37</f>
        <v/>
      </c>
    </row>
    <row r="12">
      <c r="A12" t="n">
        <v>10</v>
      </c>
      <c r="B12">
        <f>'Synthèse prix'!A44</f>
        <v/>
      </c>
      <c r="C12" t="inlineStr">
        <is>
          <t>Impact Whey Isolate 2,5kg</t>
        </is>
      </c>
      <c r="D12" t="inlineStr">
        <is>
          <t>2.5kg</t>
        </is>
      </c>
      <c r="E12" s="12">
        <f>'Synthèse prix'!H44</f>
        <v/>
      </c>
      <c r="F12" s="12">
        <f>'Synthèse prix'!I44</f>
        <v/>
      </c>
      <c r="G12" s="12">
        <f>'Synthèse prix'!J44</f>
        <v/>
      </c>
      <c r="H12" s="12">
        <f>'Synthèse prix'!N44</f>
        <v/>
      </c>
      <c r="I12" s="12">
        <f>'Synthèse prix'!S44</f>
        <v/>
      </c>
      <c r="J12" s="12">
        <f>'Synthèse prix'!T44</f>
        <v/>
      </c>
      <c r="K12" s="12">
        <f>'Synthèse prix'!U44</f>
        <v/>
      </c>
      <c r="L12" s="12">
        <f>'Synthèse prix'!V44</f>
        <v/>
      </c>
      <c r="M12" s="12">
        <f>'Synthèse prix'!Q44</f>
        <v/>
      </c>
    </row>
    <row r="13">
      <c r="A13" t="n">
        <v>11</v>
      </c>
      <c r="B13">
        <f>'Synthèse prix'!A57</f>
        <v/>
      </c>
      <c r="C13" t="inlineStr">
        <is>
          <t>Basic Whey 1000g</t>
        </is>
      </c>
      <c r="D13" t="inlineStr">
        <is>
          <t>1kg</t>
        </is>
      </c>
      <c r="E13" s="12">
        <f>'Synthèse prix'!H57</f>
        <v/>
      </c>
      <c r="F13" s="12">
        <f>'Synthèse prix'!I57</f>
        <v/>
      </c>
      <c r="G13" s="12">
        <f>'Synthèse prix'!J57</f>
        <v/>
      </c>
      <c r="H13" s="12">
        <f>'Synthèse prix'!N57</f>
        <v/>
      </c>
      <c r="I13" s="12">
        <f>'Synthèse prix'!S57</f>
        <v/>
      </c>
      <c r="J13" s="12">
        <f>'Synthèse prix'!T57</f>
        <v/>
      </c>
      <c r="K13" s="12">
        <f>'Synthèse prix'!U57</f>
        <v/>
      </c>
      <c r="L13" s="12">
        <f>'Synthèse prix'!V57</f>
        <v/>
      </c>
      <c r="M13" s="12">
        <f>'Synthèse prix'!Q57</f>
        <v/>
      </c>
    </row>
    <row r="14">
      <c r="A14" t="n">
        <v>12</v>
      </c>
      <c r="B14">
        <f>'Synthèse prix'!A34</f>
        <v/>
      </c>
      <c r="C14" t="inlineStr">
        <is>
          <t>Pure Whey Protein 2.2kg</t>
        </is>
      </c>
      <c r="D14" t="inlineStr">
        <is>
          <t>2.2kg</t>
        </is>
      </c>
      <c r="E14" s="12">
        <f>'Synthèse prix'!H34</f>
        <v/>
      </c>
      <c r="F14" s="12">
        <f>'Synthèse prix'!I34</f>
        <v/>
      </c>
      <c r="G14" s="12">
        <f>'Synthèse prix'!J34</f>
        <v/>
      </c>
      <c r="H14" s="12">
        <f>'Synthèse prix'!N34</f>
        <v/>
      </c>
      <c r="I14" s="12">
        <f>'Synthèse prix'!S34</f>
        <v/>
      </c>
      <c r="J14" s="12">
        <f>'Synthèse prix'!T34</f>
        <v/>
      </c>
      <c r="K14" s="12">
        <f>'Synthèse prix'!U34</f>
        <v/>
      </c>
      <c r="L14" s="12">
        <f>'Synthèse prix'!V34</f>
        <v/>
      </c>
      <c r="M14" s="12">
        <f>'Synthèse prix'!Q34</f>
        <v/>
      </c>
    </row>
    <row r="15">
      <c r="A15" t="n">
        <v>13</v>
      </c>
      <c r="B15">
        <f>'Synthèse prix'!A43</f>
        <v/>
      </c>
      <c r="C15" t="inlineStr">
        <is>
          <t>Impact Whey Isolate 1kg</t>
        </is>
      </c>
      <c r="D15" t="inlineStr">
        <is>
          <t>1kg</t>
        </is>
      </c>
      <c r="E15" s="12">
        <f>'Synthèse prix'!H43</f>
        <v/>
      </c>
      <c r="F15" s="12">
        <f>'Synthèse prix'!I43</f>
        <v/>
      </c>
      <c r="G15" s="12">
        <f>'Synthèse prix'!J43</f>
        <v/>
      </c>
      <c r="H15" s="12">
        <f>'Synthèse prix'!N43</f>
        <v/>
      </c>
      <c r="I15" s="12">
        <f>'Synthèse prix'!S43</f>
        <v/>
      </c>
      <c r="J15" s="12">
        <f>'Synthèse prix'!T43</f>
        <v/>
      </c>
      <c r="K15" s="12">
        <f>'Synthèse prix'!U43</f>
        <v/>
      </c>
      <c r="L15" s="12">
        <f>'Synthèse prix'!V43</f>
        <v/>
      </c>
      <c r="M15" s="12">
        <f>'Synthèse prix'!Q43</f>
        <v/>
      </c>
    </row>
    <row r="16">
      <c r="A16" t="n">
        <v>14</v>
      </c>
      <c r="B16">
        <f>'Synthèse prix'!A28</f>
        <v/>
      </c>
      <c r="C16" t="inlineStr">
        <is>
          <t>Iso Fusion Protein Complex 2kg</t>
        </is>
      </c>
      <c r="D16" t="inlineStr">
        <is>
          <t>2kg</t>
        </is>
      </c>
      <c r="E16" s="12">
        <f>'Synthèse prix'!H28</f>
        <v/>
      </c>
      <c r="F16" s="12">
        <f>'Synthèse prix'!I28</f>
        <v/>
      </c>
      <c r="G16" s="12">
        <f>'Synthèse prix'!J28</f>
        <v/>
      </c>
      <c r="H16" s="12">
        <f>'Synthèse prix'!N28</f>
        <v/>
      </c>
      <c r="I16" s="12">
        <f>'Synthèse prix'!S28</f>
        <v/>
      </c>
      <c r="J16" s="12">
        <f>'Synthèse prix'!T28</f>
        <v/>
      </c>
      <c r="K16" s="12">
        <f>'Synthèse prix'!U28</f>
        <v/>
      </c>
      <c r="L16" s="12">
        <f>'Synthèse prix'!V28</f>
        <v/>
      </c>
      <c r="M16" s="12">
        <f>'Synthèse prix'!Q28</f>
        <v/>
      </c>
    </row>
    <row r="17">
      <c r="A17" t="n">
        <v>15</v>
      </c>
      <c r="B17">
        <f>'Synthèse prix'!A17</f>
        <v/>
      </c>
      <c r="C17" t="inlineStr">
        <is>
          <t>Whey Native Concentrat 4kg</t>
        </is>
      </c>
      <c r="D17" t="inlineStr">
        <is>
          <t>4kg</t>
        </is>
      </c>
      <c r="E17" s="12">
        <f>'Synthèse prix'!H17</f>
        <v/>
      </c>
      <c r="F17" s="12">
        <f>'Synthèse prix'!I17</f>
        <v/>
      </c>
      <c r="G17" s="12">
        <f>'Synthèse prix'!J17</f>
        <v/>
      </c>
      <c r="H17" s="12">
        <f>'Synthèse prix'!N17</f>
        <v/>
      </c>
      <c r="I17" s="12">
        <f>'Synthèse prix'!S17</f>
        <v/>
      </c>
      <c r="J17" s="12">
        <f>'Synthèse prix'!T17</f>
        <v/>
      </c>
      <c r="K17" s="12">
        <f>'Synthèse prix'!U17</f>
        <v/>
      </c>
      <c r="L17" s="12">
        <f>'Synthèse prix'!V17</f>
        <v/>
      </c>
      <c r="M17" s="12">
        <f>'Synthèse prix'!Q17</f>
        <v/>
      </c>
    </row>
    <row r="18">
      <c r="A18" t="n">
        <v>16</v>
      </c>
      <c r="B18">
        <f>'Synthèse prix'!A31</f>
        <v/>
      </c>
      <c r="C18" t="inlineStr">
        <is>
          <t>Pure Whey Protein 750g</t>
        </is>
      </c>
      <c r="D18" t="inlineStr">
        <is>
          <t>750g</t>
        </is>
      </c>
      <c r="E18" s="12">
        <f>'Synthèse prix'!H31</f>
        <v/>
      </c>
      <c r="F18" s="12">
        <f>'Synthèse prix'!I31</f>
        <v/>
      </c>
      <c r="G18" s="12">
        <f>'Synthèse prix'!J31</f>
        <v/>
      </c>
      <c r="H18" s="12">
        <f>'Synthèse prix'!N31</f>
        <v/>
      </c>
      <c r="I18" s="12">
        <f>'Synthèse prix'!S31</f>
        <v/>
      </c>
      <c r="J18" s="12">
        <f>'Synthèse prix'!T31</f>
        <v/>
      </c>
      <c r="K18" s="12">
        <f>'Synthèse prix'!U31</f>
        <v/>
      </c>
      <c r="L18" s="12">
        <f>'Synthèse prix'!V31</f>
        <v/>
      </c>
      <c r="M18" s="12">
        <f>'Synthèse prix'!Q31</f>
        <v/>
      </c>
    </row>
    <row r="19">
      <c r="A19" t="n">
        <v>17</v>
      </c>
      <c r="B19">
        <f>'Synthèse prix'!A52</f>
        <v/>
      </c>
      <c r="C19" t="inlineStr">
        <is>
          <t>100% Real Whey Protein 2000g</t>
        </is>
      </c>
      <c r="D19" t="inlineStr">
        <is>
          <t>2kg</t>
        </is>
      </c>
      <c r="E19" s="12">
        <f>'Synthèse prix'!H52</f>
        <v/>
      </c>
      <c r="F19" s="12">
        <f>'Synthèse prix'!I52</f>
        <v/>
      </c>
      <c r="G19" s="12">
        <f>'Synthèse prix'!J52</f>
        <v/>
      </c>
      <c r="H19" s="12">
        <f>'Synthèse prix'!N52</f>
        <v/>
      </c>
      <c r="I19" s="12">
        <f>'Synthèse prix'!S52</f>
        <v/>
      </c>
      <c r="J19" s="12">
        <f>'Synthèse prix'!T52</f>
        <v/>
      </c>
      <c r="K19" s="12">
        <f>'Synthèse prix'!U52</f>
        <v/>
      </c>
      <c r="L19" s="12">
        <f>'Synthèse prix'!V52</f>
        <v/>
      </c>
      <c r="M19" s="12">
        <f>'Synthèse prix'!Q52</f>
        <v/>
      </c>
    </row>
    <row r="20">
      <c r="A20" t="n">
        <v>18</v>
      </c>
      <c r="B20">
        <f>'Synthèse prix'!A16</f>
        <v/>
      </c>
      <c r="C20" t="inlineStr">
        <is>
          <t>Whey Native Concentrat 2,25kg</t>
        </is>
      </c>
      <c r="D20" t="inlineStr">
        <is>
          <t>2.25kg</t>
        </is>
      </c>
      <c r="E20" s="12">
        <f>'Synthèse prix'!H16</f>
        <v/>
      </c>
      <c r="F20" s="12">
        <f>'Synthèse prix'!I16</f>
        <v/>
      </c>
      <c r="G20" s="12">
        <f>'Synthèse prix'!J16</f>
        <v/>
      </c>
      <c r="H20" s="12">
        <f>'Synthèse prix'!N16</f>
        <v/>
      </c>
      <c r="I20" s="12">
        <f>'Synthèse prix'!S16</f>
        <v/>
      </c>
      <c r="J20" s="12">
        <f>'Synthèse prix'!T16</f>
        <v/>
      </c>
      <c r="K20" s="12">
        <f>'Synthèse prix'!U16</f>
        <v/>
      </c>
      <c r="L20" s="12">
        <f>'Synthèse prix'!V16</f>
        <v/>
      </c>
      <c r="M20" s="12">
        <f>'Synthèse prix'!Q16</f>
        <v/>
      </c>
    </row>
    <row r="21">
      <c r="A21" t="n">
        <v>19</v>
      </c>
      <c r="B21">
        <f>'Synthèse prix'!A33</f>
        <v/>
      </c>
      <c r="C21" t="inlineStr">
        <is>
          <t>Pure Whey Protein 850g</t>
        </is>
      </c>
      <c r="D21" t="inlineStr">
        <is>
          <t>850g</t>
        </is>
      </c>
      <c r="E21" s="12">
        <f>'Synthèse prix'!H33</f>
        <v/>
      </c>
      <c r="F21" s="12">
        <f>'Synthèse prix'!I33</f>
        <v/>
      </c>
      <c r="G21" s="12">
        <f>'Synthèse prix'!J33</f>
        <v/>
      </c>
      <c r="H21" s="12">
        <f>'Synthèse prix'!N33</f>
        <v/>
      </c>
      <c r="I21" s="12">
        <f>'Synthèse prix'!S33</f>
        <v/>
      </c>
      <c r="J21" s="12">
        <f>'Synthèse prix'!T33</f>
        <v/>
      </c>
      <c r="K21" s="12">
        <f>'Synthèse prix'!U33</f>
        <v/>
      </c>
      <c r="L21" s="12">
        <f>'Synthèse prix'!V33</f>
        <v/>
      </c>
      <c r="M21" s="12">
        <f>'Synthèse prix'!Q33</f>
        <v/>
      </c>
    </row>
    <row r="22">
      <c r="A22" t="n">
        <v>20</v>
      </c>
      <c r="B22">
        <f>'Synthèse prix'!A48</f>
        <v/>
      </c>
      <c r="C22" t="inlineStr">
        <is>
          <t>Clear Whey Isolate 875g</t>
        </is>
      </c>
      <c r="D22" t="inlineStr">
        <is>
          <t>875g</t>
        </is>
      </c>
      <c r="E22" s="12">
        <f>'Synthèse prix'!H48</f>
        <v/>
      </c>
      <c r="F22" s="12">
        <f>'Synthèse prix'!I48</f>
        <v/>
      </c>
      <c r="G22" s="12">
        <f>'Synthèse prix'!J48</f>
        <v/>
      </c>
      <c r="H22" s="12">
        <f>'Synthèse prix'!N48</f>
        <v/>
      </c>
      <c r="I22" s="12">
        <f>'Synthèse prix'!S48</f>
        <v/>
      </c>
      <c r="J22" s="12">
        <f>'Synthèse prix'!T48</f>
        <v/>
      </c>
      <c r="K22" s="12">
        <f>'Synthèse prix'!U48</f>
        <v/>
      </c>
      <c r="L22" s="12">
        <f>'Synthèse prix'!V48</f>
        <v/>
      </c>
      <c r="M22" s="12">
        <f>'Synthèse prix'!Q48</f>
        <v/>
      </c>
    </row>
    <row r="23">
      <c r="A23" t="n">
        <v>21</v>
      </c>
      <c r="B23">
        <f>'Synthèse prix'!A54</f>
        <v/>
      </c>
      <c r="C23" t="inlineStr">
        <is>
          <t>Whey Protein 750g</t>
        </is>
      </c>
      <c r="D23" t="inlineStr">
        <is>
          <t>750g</t>
        </is>
      </c>
      <c r="E23" s="12">
        <f>'Synthèse prix'!H54</f>
        <v/>
      </c>
      <c r="F23" s="12">
        <f>'Synthèse prix'!I54</f>
        <v/>
      </c>
      <c r="G23" s="12">
        <f>'Synthèse prix'!J54</f>
        <v/>
      </c>
      <c r="H23" s="12">
        <f>'Synthèse prix'!N54</f>
        <v/>
      </c>
      <c r="I23" s="12">
        <f>'Synthèse prix'!S54</f>
        <v/>
      </c>
      <c r="J23" s="12">
        <f>'Synthèse prix'!T54</f>
        <v/>
      </c>
      <c r="K23" s="12">
        <f>'Synthèse prix'!U54</f>
        <v/>
      </c>
      <c r="L23" s="12">
        <f>'Synthèse prix'!V54</f>
        <v/>
      </c>
      <c r="M23" s="12">
        <f>'Synthèse prix'!Q54</f>
        <v/>
      </c>
    </row>
    <row r="24">
      <c r="A24" t="n">
        <v>22</v>
      </c>
      <c r="B24">
        <f>'Synthèse prix'!A15</f>
        <v/>
      </c>
      <c r="C24" t="inlineStr">
        <is>
          <t>Whey Native Concentrat</t>
        </is>
      </c>
      <c r="D24" t="inlineStr">
        <is>
          <t>1kg</t>
        </is>
      </c>
      <c r="E24" s="12">
        <f>'Synthèse prix'!H15</f>
        <v/>
      </c>
      <c r="F24" s="12">
        <f>'Synthèse prix'!I15</f>
        <v/>
      </c>
      <c r="G24" s="12">
        <f>'Synthèse prix'!J15</f>
        <v/>
      </c>
      <c r="H24" s="12">
        <f>'Synthèse prix'!N15</f>
        <v/>
      </c>
      <c r="I24" s="12">
        <f>'Synthèse prix'!S15</f>
        <v/>
      </c>
      <c r="J24" s="12">
        <f>'Synthèse prix'!T15</f>
        <v/>
      </c>
      <c r="K24" s="12">
        <f>'Synthèse prix'!U15</f>
        <v/>
      </c>
      <c r="L24" s="12">
        <f>'Synthèse prix'!V15</f>
        <v/>
      </c>
      <c r="M24" s="12">
        <f>'Synthèse prix'!Q15</f>
        <v/>
      </c>
    </row>
    <row r="25">
      <c r="A25" t="n">
        <v>23</v>
      </c>
      <c r="B25">
        <f>'Synthèse prix'!A42</f>
        <v/>
      </c>
      <c r="C25" t="inlineStr">
        <is>
          <t>Clear Whey Isolate 500g</t>
        </is>
      </c>
      <c r="D25" t="inlineStr">
        <is>
          <t>500g</t>
        </is>
      </c>
      <c r="E25" s="12">
        <f>'Synthèse prix'!H42</f>
        <v/>
      </c>
      <c r="F25" s="12">
        <f>'Synthèse prix'!I42</f>
        <v/>
      </c>
      <c r="G25" s="12">
        <f>'Synthèse prix'!J42</f>
        <v/>
      </c>
      <c r="H25" s="12">
        <f>'Synthèse prix'!N42</f>
        <v/>
      </c>
      <c r="I25" s="12">
        <f>'Synthèse prix'!S42</f>
        <v/>
      </c>
      <c r="J25" s="12">
        <f>'Synthèse prix'!T42</f>
        <v/>
      </c>
      <c r="K25" s="12">
        <f>'Synthèse prix'!U42</f>
        <v/>
      </c>
      <c r="L25" s="12">
        <f>'Synthèse prix'!V42</f>
        <v/>
      </c>
      <c r="M25" s="12">
        <f>'Synthèse prix'!Q42</f>
        <v/>
      </c>
    </row>
    <row r="26">
      <c r="A26" t="n">
        <v>24</v>
      </c>
      <c r="B26">
        <f>'Synthèse prix'!A36</f>
        <v/>
      </c>
      <c r="C26" t="inlineStr">
        <is>
          <t>Whey Protein 900g (Concentrat)</t>
        </is>
      </c>
      <c r="D26" t="inlineStr">
        <is>
          <t>900g</t>
        </is>
      </c>
      <c r="E26" s="12">
        <f>'Synthèse prix'!H36</f>
        <v/>
      </c>
      <c r="F26" s="12">
        <f>'Synthèse prix'!I36</f>
        <v/>
      </c>
      <c r="G26" s="12">
        <f>'Synthèse prix'!J36</f>
        <v/>
      </c>
      <c r="H26" s="12">
        <f>'Synthèse prix'!N36</f>
        <v/>
      </c>
      <c r="I26" s="12">
        <f>'Synthèse prix'!S36</f>
        <v/>
      </c>
      <c r="J26" s="12">
        <f>'Synthèse prix'!T36</f>
        <v/>
      </c>
      <c r="K26" s="12">
        <f>'Synthèse prix'!U36</f>
        <v/>
      </c>
      <c r="L26" s="12">
        <f>'Synthèse prix'!V36</f>
        <v/>
      </c>
      <c r="M26" s="12">
        <f>'Synthèse prix'!Q36</f>
        <v/>
      </c>
    </row>
    <row r="27">
      <c r="A27" t="n">
        <v>25</v>
      </c>
      <c r="B27">
        <f>'Synthèse prix'!A53</f>
        <v/>
      </c>
      <c r="C27" t="inlineStr">
        <is>
          <t>100% Whey Hydro Isolate 2000g</t>
        </is>
      </c>
      <c r="D27" t="inlineStr">
        <is>
          <t>2kg</t>
        </is>
      </c>
      <c r="E27" s="12">
        <f>'Synthèse prix'!H53</f>
        <v/>
      </c>
      <c r="F27" s="12">
        <f>'Synthèse prix'!I53</f>
        <v/>
      </c>
      <c r="G27" s="12">
        <f>'Synthèse prix'!J53</f>
        <v/>
      </c>
      <c r="H27" s="12">
        <f>'Synthèse prix'!N53</f>
        <v/>
      </c>
      <c r="I27" s="12">
        <f>'Synthèse prix'!S53</f>
        <v/>
      </c>
      <c r="J27" s="12">
        <f>'Synthèse prix'!T53</f>
        <v/>
      </c>
      <c r="K27" s="12">
        <f>'Synthèse prix'!U53</f>
        <v/>
      </c>
      <c r="L27" s="12">
        <f>'Synthèse prix'!V53</f>
        <v/>
      </c>
      <c r="M27" s="12">
        <f>'Synthèse prix'!Q53</f>
        <v/>
      </c>
    </row>
    <row r="28">
      <c r="A28" t="n">
        <v>26</v>
      </c>
      <c r="B28">
        <f>'Synthèse prix'!A14</f>
        <v/>
      </c>
      <c r="C28" t="inlineStr">
        <is>
          <t>Whey Native Concentrat 500g</t>
        </is>
      </c>
      <c r="D28" t="inlineStr">
        <is>
          <t>500g</t>
        </is>
      </c>
      <c r="E28" s="12">
        <f>'Synthèse prix'!H14</f>
        <v/>
      </c>
      <c r="F28" s="12">
        <f>'Synthèse prix'!I14</f>
        <v/>
      </c>
      <c r="G28" s="12">
        <f>'Synthèse prix'!J14</f>
        <v/>
      </c>
      <c r="H28" s="12">
        <f>'Synthèse prix'!N14</f>
        <v/>
      </c>
      <c r="I28" s="12">
        <f>'Synthèse prix'!S14</f>
        <v/>
      </c>
      <c r="J28" s="12">
        <f>'Synthèse prix'!T14</f>
        <v/>
      </c>
      <c r="K28" s="12">
        <f>'Synthèse prix'!U14</f>
        <v/>
      </c>
      <c r="L28" s="12">
        <f>'Synthèse prix'!V14</f>
        <v/>
      </c>
      <c r="M28" s="12">
        <f>'Synthèse prix'!Q14</f>
        <v/>
      </c>
    </row>
    <row r="29">
      <c r="A29" t="n">
        <v>27</v>
      </c>
      <c r="B29">
        <f>'Synthèse prix'!A58</f>
        <v/>
      </c>
      <c r="C29" t="inlineStr">
        <is>
          <t>Designer Whey Protein 2000g</t>
        </is>
      </c>
      <c r="D29" t="inlineStr">
        <is>
          <t>2kg</t>
        </is>
      </c>
      <c r="E29" s="12">
        <f>'Synthèse prix'!H58</f>
        <v/>
      </c>
      <c r="F29" s="12">
        <f>'Synthèse prix'!I58</f>
        <v/>
      </c>
      <c r="G29" s="12">
        <f>'Synthèse prix'!J58</f>
        <v/>
      </c>
      <c r="H29" s="12">
        <f>'Synthèse prix'!N58</f>
        <v/>
      </c>
      <c r="I29" s="12">
        <f>'Synthèse prix'!S58</f>
        <v/>
      </c>
      <c r="J29" s="12">
        <f>'Synthèse prix'!T58</f>
        <v/>
      </c>
      <c r="K29" s="12">
        <f>'Synthèse prix'!U58</f>
        <v/>
      </c>
      <c r="L29" s="12">
        <f>'Synthèse prix'!V58</f>
        <v/>
      </c>
      <c r="M29" s="12">
        <f>'Synthèse prix'!Q58</f>
        <v/>
      </c>
    </row>
    <row r="30">
      <c r="A30" t="n">
        <v>28</v>
      </c>
      <c r="B30">
        <f>'Synthèse prix'!A25</f>
        <v/>
      </c>
      <c r="C30" t="inlineStr">
        <is>
          <t>Whey Optimax Protein 1,5kg</t>
        </is>
      </c>
      <c r="D30" t="inlineStr">
        <is>
          <t>1.5kg</t>
        </is>
      </c>
      <c r="E30" s="12">
        <f>'Synthèse prix'!H25</f>
        <v/>
      </c>
      <c r="F30" s="12">
        <f>'Synthèse prix'!I25</f>
        <v/>
      </c>
      <c r="G30" s="12">
        <f>'Synthèse prix'!J25</f>
        <v/>
      </c>
      <c r="H30" s="12">
        <f>'Synthèse prix'!N25</f>
        <v/>
      </c>
      <c r="I30" s="12">
        <f>'Synthèse prix'!S25</f>
        <v/>
      </c>
      <c r="J30" s="12">
        <f>'Synthèse prix'!T25</f>
        <v/>
      </c>
      <c r="K30" s="12">
        <f>'Synthèse prix'!U25</f>
        <v/>
      </c>
      <c r="L30" s="12">
        <f>'Synthèse prix'!V25</f>
        <v/>
      </c>
      <c r="M30" s="12">
        <f>'Synthèse prix'!Q25</f>
        <v/>
      </c>
    </row>
    <row r="31">
      <c r="A31" t="n">
        <v>29</v>
      </c>
      <c r="B31">
        <f>'Synthèse prix'!A51</f>
        <v/>
      </c>
      <c r="C31" t="inlineStr">
        <is>
          <t>100% Real Whey Protein 907g</t>
        </is>
      </c>
      <c r="D31" t="inlineStr">
        <is>
          <t>907g</t>
        </is>
      </c>
      <c r="E31" s="12">
        <f>'Synthèse prix'!H51</f>
        <v/>
      </c>
      <c r="F31" s="12">
        <f>'Synthèse prix'!I51</f>
        <v/>
      </c>
      <c r="G31" s="12">
        <f>'Synthèse prix'!J51</f>
        <v/>
      </c>
      <c r="H31" s="12">
        <f>'Synthèse prix'!N51</f>
        <v/>
      </c>
      <c r="I31" s="12">
        <f>'Synthèse prix'!S51</f>
        <v/>
      </c>
      <c r="J31" s="12">
        <f>'Synthèse prix'!T51</f>
        <v/>
      </c>
      <c r="K31" s="12">
        <f>'Synthèse prix'!U51</f>
        <v/>
      </c>
      <c r="L31" s="12">
        <f>'Synthèse prix'!V51</f>
        <v/>
      </c>
      <c r="M31" s="12">
        <f>'Synthèse prix'!Q51</f>
        <v/>
      </c>
    </row>
    <row r="32">
      <c r="A32" t="n">
        <v>30</v>
      </c>
      <c r="B32">
        <f>'Synthèse prix'!A29</f>
        <v/>
      </c>
      <c r="C32" t="inlineStr">
        <is>
          <t>Pure Isolate 750g</t>
        </is>
      </c>
      <c r="D32" t="inlineStr">
        <is>
          <t>750g</t>
        </is>
      </c>
      <c r="E32" s="12">
        <f>'Synthèse prix'!H29</f>
        <v/>
      </c>
      <c r="F32" s="12">
        <f>'Synthèse prix'!I29</f>
        <v/>
      </c>
      <c r="G32" s="12">
        <f>'Synthèse prix'!J29</f>
        <v/>
      </c>
      <c r="H32" s="12">
        <f>'Synthèse prix'!N29</f>
        <v/>
      </c>
      <c r="I32" s="12">
        <f>'Synthèse prix'!S29</f>
        <v/>
      </c>
      <c r="J32" s="12">
        <f>'Synthèse prix'!T29</f>
        <v/>
      </c>
      <c r="K32" s="12">
        <f>'Synthèse prix'!U29</f>
        <v/>
      </c>
      <c r="L32" s="12">
        <f>'Synthèse prix'!V29</f>
        <v/>
      </c>
      <c r="M32" s="12">
        <f>'Synthèse prix'!Q29</f>
        <v/>
      </c>
    </row>
    <row r="33">
      <c r="A33" t="n">
        <v>31</v>
      </c>
      <c r="B33">
        <f>'Synthèse prix'!A26</f>
        <v/>
      </c>
      <c r="C33" t="inlineStr">
        <is>
          <t>Whey Zero Protéine 2kg</t>
        </is>
      </c>
      <c r="D33" t="inlineStr">
        <is>
          <t>2kg</t>
        </is>
      </c>
      <c r="E33" s="12">
        <f>'Synthèse prix'!H26</f>
        <v/>
      </c>
      <c r="F33" s="12">
        <f>'Synthèse prix'!I26</f>
        <v/>
      </c>
      <c r="G33" s="12">
        <f>'Synthèse prix'!J26</f>
        <v/>
      </c>
      <c r="H33" s="12">
        <f>'Synthèse prix'!N26</f>
        <v/>
      </c>
      <c r="I33" s="12">
        <f>'Synthèse prix'!S26</f>
        <v/>
      </c>
      <c r="J33" s="12">
        <f>'Synthèse prix'!T26</f>
        <v/>
      </c>
      <c r="K33" s="12">
        <f>'Synthèse prix'!U26</f>
        <v/>
      </c>
      <c r="L33" s="12">
        <f>'Synthèse prix'!V26</f>
        <v/>
      </c>
      <c r="M33" s="12">
        <f>'Synthèse prix'!Q26</f>
        <v/>
      </c>
    </row>
    <row r="34">
      <c r="A34" s="20" t="n">
        <v>32</v>
      </c>
      <c r="B34" s="20">
        <f>'Synthèse prix'!A4</f>
        <v/>
      </c>
      <c r="C34" s="20" t="inlineStr">
        <is>
          <t>Whey Isolate</t>
        </is>
      </c>
      <c r="D34" s="20" t="inlineStr">
        <is>
          <t>750g</t>
        </is>
      </c>
      <c r="E34" s="20">
        <f>'Synthèse prix'!H4</f>
        <v/>
      </c>
      <c r="F34" s="20">
        <f>'Synthèse prix'!I4</f>
        <v/>
      </c>
      <c r="G34" s="20">
        <f>'Synthèse prix'!J4</f>
        <v/>
      </c>
      <c r="H34" s="20">
        <f>'Synthèse prix'!N4</f>
        <v/>
      </c>
      <c r="I34" s="20">
        <f>'Synthèse prix'!S4</f>
        <v/>
      </c>
      <c r="J34" s="20">
        <f>'Synthèse prix'!T4</f>
        <v/>
      </c>
      <c r="K34" s="20">
        <f>'Synthèse prix'!U4</f>
        <v/>
      </c>
      <c r="L34" s="20">
        <f>'Synthèse prix'!V4</f>
        <v/>
      </c>
      <c r="M34" s="20">
        <f>'Synthèse prix'!Q4</f>
        <v/>
      </c>
    </row>
    <row r="35">
      <c r="A35" t="n">
        <v>33</v>
      </c>
      <c r="B35">
        <f>'Synthèse prix'!A56</f>
        <v/>
      </c>
      <c r="C35" t="inlineStr">
        <is>
          <t>Designer Whey Protein 908g</t>
        </is>
      </c>
      <c r="D35" t="inlineStr">
        <is>
          <t>908g</t>
        </is>
      </c>
      <c r="E35" s="12">
        <f>'Synthèse prix'!H56</f>
        <v/>
      </c>
      <c r="F35" s="12">
        <f>'Synthèse prix'!I56</f>
        <v/>
      </c>
      <c r="G35" s="12">
        <f>'Synthèse prix'!J56</f>
        <v/>
      </c>
      <c r="H35" s="12">
        <f>'Synthèse prix'!N56</f>
        <v/>
      </c>
      <c r="I35" s="12">
        <f>'Synthèse prix'!S56</f>
        <v/>
      </c>
      <c r="J35" s="12">
        <f>'Synthèse prix'!T56</f>
        <v/>
      </c>
      <c r="K35" s="12">
        <f>'Synthèse prix'!U56</f>
        <v/>
      </c>
      <c r="L35" s="12">
        <f>'Synthèse prix'!V56</f>
        <v/>
      </c>
      <c r="M35" s="12">
        <f>'Synthèse prix'!Q56</f>
        <v/>
      </c>
    </row>
    <row r="36">
      <c r="A36" t="n">
        <v>34</v>
      </c>
      <c r="B36">
        <f>'Synthèse prix'!A32</f>
        <v/>
      </c>
      <c r="C36" t="inlineStr">
        <is>
          <t>Mega Whey Creatine Complex 750g</t>
        </is>
      </c>
      <c r="D36" t="inlineStr">
        <is>
          <t>750g</t>
        </is>
      </c>
      <c r="E36" s="12">
        <f>'Synthèse prix'!H32</f>
        <v/>
      </c>
      <c r="F36" s="12">
        <f>'Synthèse prix'!I32</f>
        <v/>
      </c>
      <c r="G36" s="12">
        <f>'Synthèse prix'!J32</f>
        <v/>
      </c>
      <c r="H36" s="12">
        <f>'Synthèse prix'!N32</f>
        <v/>
      </c>
      <c r="I36" s="12">
        <f>'Synthèse prix'!S32</f>
        <v/>
      </c>
      <c r="J36" s="12">
        <f>'Synthèse prix'!T32</f>
        <v/>
      </c>
      <c r="K36" s="12">
        <f>'Synthèse prix'!U32</f>
        <v/>
      </c>
      <c r="L36" s="12">
        <f>'Synthèse prix'!V32</f>
        <v/>
      </c>
      <c r="M36" s="12">
        <f>'Synthèse prix'!Q32</f>
        <v/>
      </c>
    </row>
    <row r="37">
      <c r="A37" t="n">
        <v>35</v>
      </c>
      <c r="B37">
        <f>'Synthèse prix'!A13</f>
        <v/>
      </c>
      <c r="C37" t="inlineStr">
        <is>
          <t>Whey Native Isolate 4kg</t>
        </is>
      </c>
      <c r="D37" t="inlineStr">
        <is>
          <t>4kg</t>
        </is>
      </c>
      <c r="E37" s="12">
        <f>'Synthèse prix'!H13</f>
        <v/>
      </c>
      <c r="F37" s="12">
        <f>'Synthèse prix'!I13</f>
        <v/>
      </c>
      <c r="G37" s="12">
        <f>'Synthèse prix'!J13</f>
        <v/>
      </c>
      <c r="H37" s="12">
        <f>'Synthèse prix'!N13</f>
        <v/>
      </c>
      <c r="I37" s="12">
        <f>'Synthèse prix'!S13</f>
        <v/>
      </c>
      <c r="J37" s="12">
        <f>'Synthèse prix'!T13</f>
        <v/>
      </c>
      <c r="K37" s="12">
        <f>'Synthèse prix'!U13</f>
        <v/>
      </c>
      <c r="L37" s="12">
        <f>'Synthèse prix'!V13</f>
        <v/>
      </c>
      <c r="M37" s="12">
        <f>'Synthèse prix'!Q13</f>
        <v/>
      </c>
    </row>
    <row r="38">
      <c r="A38" t="n">
        <v>36</v>
      </c>
      <c r="B38">
        <f>'Synthèse prix'!A23</f>
        <v/>
      </c>
      <c r="C38" t="inlineStr">
        <is>
          <t>Iso Zero 100% Whey Protéine 2kg</t>
        </is>
      </c>
      <c r="D38" t="inlineStr">
        <is>
          <t>2kg</t>
        </is>
      </c>
      <c r="E38" s="12">
        <f>'Synthèse prix'!H23</f>
        <v/>
      </c>
      <c r="F38" s="12">
        <f>'Synthèse prix'!I23</f>
        <v/>
      </c>
      <c r="G38" s="12">
        <f>'Synthèse prix'!J23</f>
        <v/>
      </c>
      <c r="H38" s="12">
        <f>'Synthèse prix'!N23</f>
        <v/>
      </c>
      <c r="I38" s="12">
        <f>'Synthèse prix'!S23</f>
        <v/>
      </c>
      <c r="J38" s="12">
        <f>'Synthèse prix'!T23</f>
        <v/>
      </c>
      <c r="K38" s="12">
        <f>'Synthèse prix'!U23</f>
        <v/>
      </c>
      <c r="L38" s="12">
        <f>'Synthèse prix'!V23</f>
        <v/>
      </c>
      <c r="M38" s="12">
        <f>'Synthèse prix'!Q23</f>
        <v/>
      </c>
    </row>
    <row r="39">
      <c r="A39" t="n">
        <v>37</v>
      </c>
      <c r="B39">
        <f>'Synthèse prix'!A30</f>
        <v/>
      </c>
      <c r="C39" t="inlineStr">
        <is>
          <t>Pure Isolate Premium 750g</t>
        </is>
      </c>
      <c r="D39" t="inlineStr">
        <is>
          <t>750g</t>
        </is>
      </c>
      <c r="E39" s="12">
        <f>'Synthèse prix'!H30</f>
        <v/>
      </c>
      <c r="F39" s="12">
        <f>'Synthèse prix'!I30</f>
        <v/>
      </c>
      <c r="G39" s="12">
        <f>'Synthèse prix'!J30</f>
        <v/>
      </c>
      <c r="H39" s="12">
        <f>'Synthèse prix'!N30</f>
        <v/>
      </c>
      <c r="I39" s="12">
        <f>'Synthèse prix'!S30</f>
        <v/>
      </c>
      <c r="J39" s="12">
        <f>'Synthèse prix'!T30</f>
        <v/>
      </c>
      <c r="K39" s="12">
        <f>'Synthèse prix'!U30</f>
        <v/>
      </c>
      <c r="L39" s="12">
        <f>'Synthèse prix'!V30</f>
        <v/>
      </c>
      <c r="M39" s="12">
        <f>'Synthèse prix'!Q30</f>
        <v/>
      </c>
    </row>
    <row r="40">
      <c r="A40" t="n">
        <v>38</v>
      </c>
      <c r="B40">
        <f>'Synthèse prix'!A55</f>
        <v/>
      </c>
      <c r="C40" t="inlineStr">
        <is>
          <t>Iso Whey Protein Isolat 908g</t>
        </is>
      </c>
      <c r="D40" t="inlineStr">
        <is>
          <t>908g</t>
        </is>
      </c>
      <c r="E40" s="12">
        <f>'Synthèse prix'!H55</f>
        <v/>
      </c>
      <c r="F40" s="12">
        <f>'Synthèse prix'!I55</f>
        <v/>
      </c>
      <c r="G40" s="12">
        <f>'Synthèse prix'!J55</f>
        <v/>
      </c>
      <c r="H40" s="12">
        <f>'Synthèse prix'!N55</f>
        <v/>
      </c>
      <c r="I40" s="12">
        <f>'Synthèse prix'!S55</f>
        <v/>
      </c>
      <c r="J40" s="12">
        <f>'Synthèse prix'!T55</f>
        <v/>
      </c>
      <c r="K40" s="12">
        <f>'Synthèse prix'!U55</f>
        <v/>
      </c>
      <c r="L40" s="12">
        <f>'Synthèse prix'!V55</f>
        <v/>
      </c>
      <c r="M40" s="12">
        <f>'Synthèse prix'!Q55</f>
        <v/>
      </c>
    </row>
    <row r="41">
      <c r="A41" t="n">
        <v>39</v>
      </c>
      <c r="B41">
        <f>'Synthèse prix'!A20</f>
        <v/>
      </c>
      <c r="C41" t="inlineStr">
        <is>
          <t>Whey Native 810g</t>
        </is>
      </c>
      <c r="D41" t="inlineStr">
        <is>
          <t>810g</t>
        </is>
      </c>
      <c r="E41" s="12">
        <f>'Synthèse prix'!H20</f>
        <v/>
      </c>
      <c r="F41" s="12">
        <f>'Synthèse prix'!I20</f>
        <v/>
      </c>
      <c r="G41" s="12">
        <f>'Synthèse prix'!J20</f>
        <v/>
      </c>
      <c r="H41" s="12">
        <f>'Synthèse prix'!N20</f>
        <v/>
      </c>
      <c r="I41" s="12">
        <f>'Synthèse prix'!S20</f>
        <v/>
      </c>
      <c r="J41" s="12">
        <f>'Synthèse prix'!T20</f>
        <v/>
      </c>
      <c r="K41" s="12">
        <f>'Synthèse prix'!U20</f>
        <v/>
      </c>
      <c r="L41" s="12">
        <f>'Synthèse prix'!V20</f>
        <v/>
      </c>
      <c r="M41" s="12">
        <f>'Synthèse prix'!Q20</f>
        <v/>
      </c>
    </row>
    <row r="42">
      <c r="A42" s="20" t="n">
        <v>40</v>
      </c>
      <c r="B42" s="20">
        <f>'Synthèse prix'!A2</f>
        <v/>
      </c>
      <c r="C42" s="20" t="inlineStr">
        <is>
          <t>Whey Isolate</t>
        </is>
      </c>
      <c r="D42" s="20" t="inlineStr">
        <is>
          <t>750g</t>
        </is>
      </c>
      <c r="E42" s="20">
        <f>'Synthèse prix'!H2</f>
        <v/>
      </c>
      <c r="F42" s="20">
        <f>'Synthèse prix'!I2</f>
        <v/>
      </c>
      <c r="G42" s="20">
        <f>'Synthèse prix'!J2</f>
        <v/>
      </c>
      <c r="H42" s="20">
        <f>'Synthèse prix'!N2</f>
        <v/>
      </c>
      <c r="I42" s="20">
        <f>'Synthèse prix'!S2</f>
        <v/>
      </c>
      <c r="J42" s="20">
        <f>'Synthèse prix'!T2</f>
        <v/>
      </c>
      <c r="K42" s="20">
        <f>'Synthèse prix'!U2</f>
        <v/>
      </c>
      <c r="L42" s="20">
        <f>'Synthèse prix'!V2</f>
        <v/>
      </c>
      <c r="M42" s="20">
        <f>'Synthèse prix'!Q2</f>
        <v/>
      </c>
    </row>
    <row r="43">
      <c r="A43" s="20" t="n">
        <v>41</v>
      </c>
      <c r="B43" s="20">
        <f>'Synthèse prix'!A3</f>
        <v/>
      </c>
      <c r="C43" s="20" t="inlineStr">
        <is>
          <t>Whey Isolate</t>
        </is>
      </c>
      <c r="D43" s="20" t="inlineStr">
        <is>
          <t>750g</t>
        </is>
      </c>
      <c r="E43" s="20">
        <f>'Synthèse prix'!H3</f>
        <v/>
      </c>
      <c r="F43" s="20">
        <f>'Synthèse prix'!I3</f>
        <v/>
      </c>
      <c r="G43" s="20">
        <f>'Synthèse prix'!J3</f>
        <v/>
      </c>
      <c r="H43" s="20">
        <f>'Synthèse prix'!N3</f>
        <v/>
      </c>
      <c r="I43" s="20">
        <f>'Synthèse prix'!S3</f>
        <v/>
      </c>
      <c r="J43" s="20">
        <f>'Synthèse prix'!T3</f>
        <v/>
      </c>
      <c r="K43" s="20">
        <f>'Synthèse prix'!U3</f>
        <v/>
      </c>
      <c r="L43" s="20">
        <f>'Synthèse prix'!V3</f>
        <v/>
      </c>
      <c r="M43" s="20">
        <f>'Synthèse prix'!Q3</f>
        <v/>
      </c>
    </row>
    <row r="44">
      <c r="A44" t="n">
        <v>42</v>
      </c>
      <c r="B44">
        <f>'Synthèse prix'!A35</f>
        <v/>
      </c>
      <c r="C44" t="inlineStr">
        <is>
          <t>Pure Whey 100% Isolate 900g</t>
        </is>
      </c>
      <c r="D44" t="inlineStr">
        <is>
          <t>900g</t>
        </is>
      </c>
      <c r="E44" s="12">
        <f>'Synthèse prix'!H35</f>
        <v/>
      </c>
      <c r="F44" s="12">
        <f>'Synthèse prix'!I35</f>
        <v/>
      </c>
      <c r="G44" s="12">
        <f>'Synthèse prix'!J35</f>
        <v/>
      </c>
      <c r="H44" s="12">
        <f>'Synthèse prix'!N35</f>
        <v/>
      </c>
      <c r="I44" s="12">
        <f>'Synthèse prix'!S35</f>
        <v/>
      </c>
      <c r="J44" s="12">
        <f>'Synthèse prix'!T35</f>
        <v/>
      </c>
      <c r="K44" s="12">
        <f>'Synthèse prix'!U35</f>
        <v/>
      </c>
      <c r="L44" s="12">
        <f>'Synthèse prix'!V35</f>
        <v/>
      </c>
      <c r="M44" s="12">
        <f>'Synthèse prix'!Q35</f>
        <v/>
      </c>
    </row>
    <row r="45">
      <c r="A45" t="n">
        <v>43</v>
      </c>
      <c r="B45">
        <f>'Synthèse prix'!A9</f>
        <v/>
      </c>
      <c r="C45" t="inlineStr">
        <is>
          <t>Whey Isolat Native 4kg</t>
        </is>
      </c>
      <c r="D45" t="inlineStr">
        <is>
          <t>4kg</t>
        </is>
      </c>
      <c r="E45" s="12">
        <f>'Synthèse prix'!H9</f>
        <v/>
      </c>
      <c r="F45" s="12">
        <f>'Synthèse prix'!I9</f>
        <v/>
      </c>
      <c r="G45" s="12">
        <f>'Synthèse prix'!J9</f>
        <v/>
      </c>
      <c r="H45" s="12">
        <f>'Synthèse prix'!N9</f>
        <v/>
      </c>
      <c r="I45" s="12">
        <f>'Synthèse prix'!S9</f>
        <v/>
      </c>
      <c r="J45" s="12">
        <f>'Synthèse prix'!T9</f>
        <v/>
      </c>
      <c r="K45" s="12">
        <f>'Synthèse prix'!U9</f>
        <v/>
      </c>
      <c r="L45" s="12">
        <f>'Synthèse prix'!V9</f>
        <v/>
      </c>
      <c r="M45" s="12">
        <f>'Synthèse prix'!Q9</f>
        <v/>
      </c>
    </row>
    <row r="46">
      <c r="A46" t="n">
        <v>44</v>
      </c>
      <c r="B46">
        <f>'Synthèse prix'!A19</f>
        <v/>
      </c>
      <c r="C46" t="inlineStr">
        <is>
          <t>Whey Concentrée Native 900g</t>
        </is>
      </c>
      <c r="D46" t="inlineStr">
        <is>
          <t>900g</t>
        </is>
      </c>
      <c r="E46" s="12">
        <f>'Synthèse prix'!H19</f>
        <v/>
      </c>
      <c r="F46" s="12">
        <f>'Synthèse prix'!I19</f>
        <v/>
      </c>
      <c r="G46" s="12">
        <f>'Synthèse prix'!J19</f>
        <v/>
      </c>
      <c r="H46" s="12">
        <f>'Synthèse prix'!N19</f>
        <v/>
      </c>
      <c r="I46" s="12">
        <f>'Synthèse prix'!S19</f>
        <v/>
      </c>
      <c r="J46" s="12">
        <f>'Synthèse prix'!T19</f>
        <v/>
      </c>
      <c r="K46" s="12">
        <f>'Synthèse prix'!U19</f>
        <v/>
      </c>
      <c r="L46" s="12">
        <f>'Synthèse prix'!V19</f>
        <v/>
      </c>
      <c r="M46" s="12">
        <f>'Synthèse prix'!Q19</f>
        <v/>
      </c>
    </row>
    <row r="47">
      <c r="A47" t="n">
        <v>45</v>
      </c>
      <c r="B47">
        <f>'Synthèse prix'!A64</f>
        <v/>
      </c>
      <c r="C47" t="inlineStr">
        <is>
          <t>100% Pure Whey 2000g</t>
        </is>
      </c>
      <c r="D47" t="inlineStr">
        <is>
          <t>2kg</t>
        </is>
      </c>
      <c r="E47" s="12">
        <f>'Synthèse prix'!H64</f>
        <v/>
      </c>
      <c r="F47" s="12">
        <f>'Synthèse prix'!I64</f>
        <v/>
      </c>
      <c r="G47" s="12">
        <f>'Synthèse prix'!J64</f>
        <v/>
      </c>
      <c r="H47" s="12">
        <f>'Synthèse prix'!N64</f>
        <v/>
      </c>
      <c r="I47" s="12">
        <f>'Synthèse prix'!S64</f>
        <v/>
      </c>
      <c r="J47" s="12">
        <f>'Synthèse prix'!T64</f>
        <v/>
      </c>
      <c r="K47" s="12">
        <f>'Synthèse prix'!U64</f>
        <v/>
      </c>
      <c r="L47" s="12">
        <f>'Synthèse prix'!V64</f>
        <v/>
      </c>
      <c r="M47" s="12">
        <f>'Synthèse prix'!Q64</f>
        <v/>
      </c>
    </row>
    <row r="48">
      <c r="A48" t="n">
        <v>46</v>
      </c>
      <c r="B48">
        <f>'Synthèse prix'!A12</f>
        <v/>
      </c>
      <c r="C48" t="inlineStr">
        <is>
          <t>Whey Native Isolate 2,25kg</t>
        </is>
      </c>
      <c r="D48" t="inlineStr">
        <is>
          <t>2.25kg</t>
        </is>
      </c>
      <c r="E48" s="12">
        <f>'Synthèse prix'!H12</f>
        <v/>
      </c>
      <c r="F48" s="12">
        <f>'Synthèse prix'!I12</f>
        <v/>
      </c>
      <c r="G48" s="12">
        <f>'Synthèse prix'!J12</f>
        <v/>
      </c>
      <c r="H48" s="12">
        <f>'Synthèse prix'!N12</f>
        <v/>
      </c>
      <c r="I48" s="12">
        <f>'Synthèse prix'!S12</f>
        <v/>
      </c>
      <c r="J48" s="12">
        <f>'Synthèse prix'!T12</f>
        <v/>
      </c>
      <c r="K48" s="12">
        <f>'Synthèse prix'!U12</f>
        <v/>
      </c>
      <c r="L48" s="12">
        <f>'Synthèse prix'!V12</f>
        <v/>
      </c>
      <c r="M48" s="12">
        <f>'Synthèse prix'!Q12</f>
        <v/>
      </c>
    </row>
    <row r="49">
      <c r="A49" t="n">
        <v>47</v>
      </c>
      <c r="B49">
        <f>'Synthèse prix'!A49</f>
        <v/>
      </c>
      <c r="C49" t="inlineStr">
        <is>
          <t>Zero Diet Whey 750g</t>
        </is>
      </c>
      <c r="D49" t="inlineStr">
        <is>
          <t>750g</t>
        </is>
      </c>
      <c r="E49" s="12">
        <f>'Synthèse prix'!H49</f>
        <v/>
      </c>
      <c r="F49" s="12">
        <f>'Synthèse prix'!I49</f>
        <v/>
      </c>
      <c r="G49" s="12">
        <f>'Synthèse prix'!J49</f>
        <v/>
      </c>
      <c r="H49" s="12">
        <f>'Synthèse prix'!N49</f>
        <v/>
      </c>
      <c r="I49" s="12">
        <f>'Synthèse prix'!S49</f>
        <v/>
      </c>
      <c r="J49" s="12">
        <f>'Synthèse prix'!T49</f>
        <v/>
      </c>
      <c r="K49" s="12">
        <f>'Synthèse prix'!U49</f>
        <v/>
      </c>
      <c r="L49" s="12">
        <f>'Synthèse prix'!V49</f>
        <v/>
      </c>
      <c r="M49" s="12">
        <f>'Synthèse prix'!Q49</f>
        <v/>
      </c>
    </row>
    <row r="50">
      <c r="A50" t="n">
        <v>48</v>
      </c>
      <c r="B50">
        <f>'Synthèse prix'!A50</f>
        <v/>
      </c>
      <c r="C50" t="inlineStr">
        <is>
          <t>100% Real Whey Isolate 1000g</t>
        </is>
      </c>
      <c r="D50" t="inlineStr">
        <is>
          <t>1kg</t>
        </is>
      </c>
      <c r="E50" s="12">
        <f>'Synthèse prix'!H50</f>
        <v/>
      </c>
      <c r="F50" s="12">
        <f>'Synthèse prix'!I50</f>
        <v/>
      </c>
      <c r="G50" s="12">
        <f>'Synthèse prix'!J50</f>
        <v/>
      </c>
      <c r="H50" s="12">
        <f>'Synthèse prix'!N50</f>
        <v/>
      </c>
      <c r="I50" s="12">
        <f>'Synthèse prix'!S50</f>
        <v/>
      </c>
      <c r="J50" s="12">
        <f>'Synthèse prix'!T50</f>
        <v/>
      </c>
      <c r="K50" s="12">
        <f>'Synthèse prix'!U50</f>
        <v/>
      </c>
      <c r="L50" s="12">
        <f>'Synthèse prix'!V50</f>
        <v/>
      </c>
      <c r="M50" s="12">
        <f>'Synthèse prix'!Q50</f>
        <v/>
      </c>
    </row>
    <row r="51">
      <c r="A51" t="n">
        <v>49</v>
      </c>
      <c r="B51">
        <f>'Synthèse prix'!A22</f>
        <v/>
      </c>
      <c r="C51" t="inlineStr">
        <is>
          <t>Iso Zero 100% Whey Protéine 1,5kg</t>
        </is>
      </c>
      <c r="D51" t="inlineStr">
        <is>
          <t>1.5kg</t>
        </is>
      </c>
      <c r="E51" s="12">
        <f>'Synthèse prix'!H22</f>
        <v/>
      </c>
      <c r="F51" s="12">
        <f>'Synthèse prix'!I22</f>
        <v/>
      </c>
      <c r="G51" s="12">
        <f>'Synthèse prix'!J22</f>
        <v/>
      </c>
      <c r="H51" s="12">
        <f>'Synthèse prix'!N22</f>
        <v/>
      </c>
      <c r="I51" s="12">
        <f>'Synthèse prix'!S22</f>
        <v/>
      </c>
      <c r="J51" s="12">
        <f>'Synthèse prix'!T22</f>
        <v/>
      </c>
      <c r="K51" s="12">
        <f>'Synthèse prix'!U22</f>
        <v/>
      </c>
      <c r="L51" s="12">
        <f>'Synthèse prix'!V22</f>
        <v/>
      </c>
      <c r="M51" s="12">
        <f>'Synthèse prix'!Q22</f>
        <v/>
      </c>
    </row>
    <row r="52">
      <c r="A52" t="n">
        <v>50</v>
      </c>
      <c r="B52">
        <f>'Synthèse prix'!A18</f>
        <v/>
      </c>
      <c r="C52" t="inlineStr">
        <is>
          <t>Whey Isolate Native 900g</t>
        </is>
      </c>
      <c r="D52" t="inlineStr">
        <is>
          <t>900g</t>
        </is>
      </c>
      <c r="E52" s="12">
        <f>'Synthèse prix'!H18</f>
        <v/>
      </c>
      <c r="F52" s="12">
        <f>'Synthèse prix'!I18</f>
        <v/>
      </c>
      <c r="G52" s="12">
        <f>'Synthèse prix'!J18</f>
        <v/>
      </c>
      <c r="H52" s="12">
        <f>'Synthèse prix'!N18</f>
        <v/>
      </c>
      <c r="I52" s="12">
        <f>'Synthèse prix'!S18</f>
        <v/>
      </c>
      <c r="J52" s="12">
        <f>'Synthèse prix'!T18</f>
        <v/>
      </c>
      <c r="K52" s="12">
        <f>'Synthèse prix'!U18</f>
        <v/>
      </c>
      <c r="L52" s="12">
        <f>'Synthèse prix'!V18</f>
        <v/>
      </c>
      <c r="M52" s="12">
        <f>'Synthèse prix'!Q18</f>
        <v/>
      </c>
    </row>
    <row r="53">
      <c r="A53" t="n">
        <v>51</v>
      </c>
      <c r="B53">
        <f>'Synthèse prix'!A61</f>
        <v/>
      </c>
      <c r="C53" t="inlineStr">
        <is>
          <t>Iso Whey Zero 1816g</t>
        </is>
      </c>
      <c r="D53" t="inlineStr">
        <is>
          <t>1.816kg</t>
        </is>
      </c>
      <c r="E53" s="12">
        <f>'Synthèse prix'!H61</f>
        <v/>
      </c>
      <c r="F53" s="12">
        <f>'Synthèse prix'!I61</f>
        <v/>
      </c>
      <c r="G53" s="12">
        <f>'Synthèse prix'!J61</f>
        <v/>
      </c>
      <c r="H53" s="12">
        <f>'Synthèse prix'!N61</f>
        <v/>
      </c>
      <c r="I53" s="12">
        <f>'Synthèse prix'!S61</f>
        <v/>
      </c>
      <c r="J53" s="12">
        <f>'Synthèse prix'!T61</f>
        <v/>
      </c>
      <c r="K53" s="12">
        <f>'Synthèse prix'!U61</f>
        <v/>
      </c>
      <c r="L53" s="12">
        <f>'Synthèse prix'!V61</f>
        <v/>
      </c>
      <c r="M53" s="12">
        <f>'Synthèse prix'!Q61</f>
        <v/>
      </c>
    </row>
    <row r="54">
      <c r="A54" t="n">
        <v>52</v>
      </c>
      <c r="B54">
        <f>'Synthèse prix'!A27</f>
        <v/>
      </c>
      <c r="C54" t="inlineStr">
        <is>
          <t>Iso Fusion Protein Complex 750g</t>
        </is>
      </c>
      <c r="D54" t="inlineStr">
        <is>
          <t>750g</t>
        </is>
      </c>
      <c r="E54" s="12">
        <f>'Synthèse prix'!H27</f>
        <v/>
      </c>
      <c r="F54" s="12">
        <f>'Synthèse prix'!I27</f>
        <v/>
      </c>
      <c r="G54" s="12">
        <f>'Synthèse prix'!J27</f>
        <v/>
      </c>
      <c r="H54" s="12">
        <f>'Synthèse prix'!N27</f>
        <v/>
      </c>
      <c r="I54" s="12">
        <f>'Synthèse prix'!S27</f>
        <v/>
      </c>
      <c r="J54" s="12">
        <f>'Synthèse prix'!T27</f>
        <v/>
      </c>
      <c r="K54" s="12">
        <f>'Synthèse prix'!U27</f>
        <v/>
      </c>
      <c r="L54" s="12">
        <f>'Synthèse prix'!V27</f>
        <v/>
      </c>
      <c r="M54" s="12">
        <f>'Synthèse prix'!Q27</f>
        <v/>
      </c>
    </row>
    <row r="55">
      <c r="A55" t="n">
        <v>53</v>
      </c>
      <c r="B55">
        <f>'Synthèse prix'!A8</f>
        <v/>
      </c>
      <c r="C55" t="inlineStr">
        <is>
          <t>Whey Isolat Native 2kg</t>
        </is>
      </c>
      <c r="D55" t="inlineStr">
        <is>
          <t>2kg</t>
        </is>
      </c>
      <c r="E55" s="12">
        <f>'Synthèse prix'!H8</f>
        <v/>
      </c>
      <c r="F55" s="12">
        <f>'Synthèse prix'!I8</f>
        <v/>
      </c>
      <c r="G55" s="12">
        <f>'Synthèse prix'!J8</f>
        <v/>
      </c>
      <c r="H55" s="12">
        <f>'Synthèse prix'!N8</f>
        <v/>
      </c>
      <c r="I55" s="12">
        <f>'Synthèse prix'!S8</f>
        <v/>
      </c>
      <c r="J55" s="12">
        <f>'Synthèse prix'!T8</f>
        <v/>
      </c>
      <c r="K55" s="12">
        <f>'Synthèse prix'!U8</f>
        <v/>
      </c>
      <c r="L55" s="12">
        <f>'Synthèse prix'!V8</f>
        <v/>
      </c>
      <c r="M55" s="12">
        <f>'Synthèse prix'!Q8</f>
        <v/>
      </c>
    </row>
    <row r="56">
      <c r="A56" t="n">
        <v>54</v>
      </c>
      <c r="B56">
        <f>'Synthèse prix'!A7</f>
        <v/>
      </c>
      <c r="C56" t="inlineStr">
        <is>
          <t>Whey Isolat Native 750g</t>
        </is>
      </c>
      <c r="D56" t="inlineStr">
        <is>
          <t>750g</t>
        </is>
      </c>
      <c r="E56" s="12">
        <f>'Synthèse prix'!H7</f>
        <v/>
      </c>
      <c r="F56" s="12">
        <f>'Synthèse prix'!I7</f>
        <v/>
      </c>
      <c r="G56" s="12">
        <f>'Synthèse prix'!J7</f>
        <v/>
      </c>
      <c r="H56" s="12">
        <f>'Synthèse prix'!N7</f>
        <v/>
      </c>
      <c r="I56" s="12">
        <f>'Synthèse prix'!S7</f>
        <v/>
      </c>
      <c r="J56" s="12">
        <f>'Synthèse prix'!T7</f>
        <v/>
      </c>
      <c r="K56" s="12">
        <f>'Synthèse prix'!U7</f>
        <v/>
      </c>
      <c r="L56" s="12">
        <f>'Synthèse prix'!V7</f>
        <v/>
      </c>
      <c r="M56" s="12">
        <f>'Synthèse prix'!Q7</f>
        <v/>
      </c>
    </row>
    <row r="57">
      <c r="A57" t="n">
        <v>55</v>
      </c>
      <c r="B57">
        <f>'Synthèse prix'!A11</f>
        <v/>
      </c>
      <c r="C57" t="inlineStr">
        <is>
          <t>Whey Native Isolate</t>
        </is>
      </c>
      <c r="D57" t="inlineStr">
        <is>
          <t>1kg</t>
        </is>
      </c>
      <c r="E57" s="12">
        <f>'Synthèse prix'!H11</f>
        <v/>
      </c>
      <c r="F57" s="12">
        <f>'Synthèse prix'!I11</f>
        <v/>
      </c>
      <c r="G57" s="12">
        <f>'Synthèse prix'!J11</f>
        <v/>
      </c>
      <c r="H57" s="12">
        <f>'Synthèse prix'!N11</f>
        <v/>
      </c>
      <c r="I57" s="12">
        <f>'Synthèse prix'!S11</f>
        <v/>
      </c>
      <c r="J57" s="12">
        <f>'Synthèse prix'!T11</f>
        <v/>
      </c>
      <c r="K57" s="12">
        <f>'Synthèse prix'!U11</f>
        <v/>
      </c>
      <c r="L57" s="12">
        <f>'Synthèse prix'!V11</f>
        <v/>
      </c>
      <c r="M57" s="12">
        <f>'Synthèse prix'!Q11</f>
        <v/>
      </c>
    </row>
    <row r="58">
      <c r="A58" t="n">
        <v>56</v>
      </c>
      <c r="B58">
        <f>'Synthèse prix'!A63</f>
        <v/>
      </c>
      <c r="C58" t="inlineStr">
        <is>
          <t>100% Pure Whey 1000g</t>
        </is>
      </c>
      <c r="D58" t="inlineStr">
        <is>
          <t>1kg</t>
        </is>
      </c>
      <c r="E58" s="12">
        <f>'Synthèse prix'!H63</f>
        <v/>
      </c>
      <c r="F58" s="12">
        <f>'Synthèse prix'!I63</f>
        <v/>
      </c>
      <c r="G58" s="12">
        <f>'Synthèse prix'!J63</f>
        <v/>
      </c>
      <c r="H58" s="12">
        <f>'Synthèse prix'!N63</f>
        <v/>
      </c>
      <c r="I58" s="12">
        <f>'Synthèse prix'!S63</f>
        <v/>
      </c>
      <c r="J58" s="12">
        <f>'Synthèse prix'!T63</f>
        <v/>
      </c>
      <c r="K58" s="12">
        <f>'Synthèse prix'!U63</f>
        <v/>
      </c>
      <c r="L58" s="12">
        <f>'Synthèse prix'!V63</f>
        <v/>
      </c>
      <c r="M58" s="12">
        <f>'Synthèse prix'!Q63</f>
        <v/>
      </c>
    </row>
    <row r="59">
      <c r="A59" t="n">
        <v>57</v>
      </c>
      <c r="B59">
        <f>'Synthèse prix'!A10</f>
        <v/>
      </c>
      <c r="C59" t="inlineStr">
        <is>
          <t>Whey Native Isolate 500g</t>
        </is>
      </c>
      <c r="D59" t="inlineStr">
        <is>
          <t>500g</t>
        </is>
      </c>
      <c r="E59" s="12">
        <f>'Synthèse prix'!H10</f>
        <v/>
      </c>
      <c r="F59" s="12">
        <f>'Synthèse prix'!I10</f>
        <v/>
      </c>
      <c r="G59" s="12">
        <f>'Synthèse prix'!J10</f>
        <v/>
      </c>
      <c r="H59" s="12">
        <f>'Synthèse prix'!N10</f>
        <v/>
      </c>
      <c r="I59" s="12">
        <f>'Synthèse prix'!S10</f>
        <v/>
      </c>
      <c r="J59" s="12">
        <f>'Synthèse prix'!T10</f>
        <v/>
      </c>
      <c r="K59" s="12">
        <f>'Synthèse prix'!U10</f>
        <v/>
      </c>
      <c r="L59" s="12">
        <f>'Synthèse prix'!V10</f>
        <v/>
      </c>
      <c r="M59" s="12">
        <f>'Synthèse prix'!Q10</f>
        <v/>
      </c>
    </row>
    <row r="60">
      <c r="A60" t="n">
        <v>58</v>
      </c>
      <c r="B60">
        <f>'Synthèse prix'!A21</f>
        <v/>
      </c>
      <c r="C60" t="inlineStr">
        <is>
          <t>Iso Zero 100% Whey Protéine 500g</t>
        </is>
      </c>
      <c r="D60" t="inlineStr">
        <is>
          <t>500g</t>
        </is>
      </c>
      <c r="E60" s="12">
        <f>'Synthèse prix'!H21</f>
        <v/>
      </c>
      <c r="F60" s="12">
        <f>'Synthèse prix'!I21</f>
        <v/>
      </c>
      <c r="G60" s="12">
        <f>'Synthèse prix'!J21</f>
        <v/>
      </c>
      <c r="H60" s="12">
        <f>'Synthèse prix'!N21</f>
        <v/>
      </c>
      <c r="I60" s="12">
        <f>'Synthèse prix'!S21</f>
        <v/>
      </c>
      <c r="J60" s="12">
        <f>'Synthèse prix'!T21</f>
        <v/>
      </c>
      <c r="K60" s="12">
        <f>'Synthèse prix'!U21</f>
        <v/>
      </c>
      <c r="L60" s="12">
        <f>'Synthèse prix'!V21</f>
        <v/>
      </c>
      <c r="M60" s="12">
        <f>'Synthèse prix'!Q21</f>
        <v/>
      </c>
    </row>
    <row r="61">
      <c r="A61" t="n">
        <v>59</v>
      </c>
      <c r="B61">
        <f>'Synthèse prix'!A24</f>
        <v/>
      </c>
      <c r="C61" t="inlineStr">
        <is>
          <t>Whey Optimax Protein 500g</t>
        </is>
      </c>
      <c r="D61" t="inlineStr">
        <is>
          <t>500g</t>
        </is>
      </c>
      <c r="E61" s="12">
        <f>'Synthèse prix'!H24</f>
        <v/>
      </c>
      <c r="F61" s="12">
        <f>'Synthèse prix'!I24</f>
        <v/>
      </c>
      <c r="G61" s="12">
        <f>'Synthèse prix'!J24</f>
        <v/>
      </c>
      <c r="H61" s="12">
        <f>'Synthèse prix'!N24</f>
        <v/>
      </c>
      <c r="I61" s="12">
        <f>'Synthèse prix'!S24</f>
        <v/>
      </c>
      <c r="J61" s="12">
        <f>'Synthèse prix'!T24</f>
        <v/>
      </c>
      <c r="K61" s="12">
        <f>'Synthèse prix'!U24</f>
        <v/>
      </c>
      <c r="L61" s="12">
        <f>'Synthèse prix'!V24</f>
        <v/>
      </c>
      <c r="M61" s="12">
        <f>'Synthèse prix'!Q24</f>
        <v/>
      </c>
    </row>
    <row r="62">
      <c r="A62" t="n">
        <v>60</v>
      </c>
      <c r="B62">
        <f>'Synthèse prix'!A60</f>
        <v/>
      </c>
      <c r="C62" t="inlineStr">
        <is>
          <t>Iso Whey Zero 908g</t>
        </is>
      </c>
      <c r="D62" t="inlineStr">
        <is>
          <t>908g</t>
        </is>
      </c>
      <c r="E62" s="12">
        <f>'Synthèse prix'!H60</f>
        <v/>
      </c>
      <c r="F62" s="12">
        <f>'Synthèse prix'!I60</f>
        <v/>
      </c>
      <c r="G62" s="12">
        <f>'Synthèse prix'!J60</f>
        <v/>
      </c>
      <c r="H62" s="12">
        <f>'Synthèse prix'!N60</f>
        <v/>
      </c>
      <c r="I62" s="12">
        <f>'Synthèse prix'!S60</f>
        <v/>
      </c>
      <c r="J62" s="12">
        <f>'Synthèse prix'!T60</f>
        <v/>
      </c>
      <c r="K62" s="12">
        <f>'Synthèse prix'!U60</f>
        <v/>
      </c>
      <c r="L62" s="12">
        <f>'Synthèse prix'!V60</f>
        <v/>
      </c>
      <c r="M62" s="12">
        <f>'Synthèse prix'!Q60</f>
        <v/>
      </c>
    </row>
    <row r="63">
      <c r="A63" t="n">
        <v>61</v>
      </c>
      <c r="B63">
        <f>'Synthèse prix'!A62</f>
        <v/>
      </c>
      <c r="C63" t="inlineStr">
        <is>
          <t>100% Pure Whey 400g</t>
        </is>
      </c>
      <c r="D63" t="inlineStr">
        <is>
          <t>400g</t>
        </is>
      </c>
      <c r="E63" s="12">
        <f>'Synthèse prix'!H62</f>
        <v/>
      </c>
      <c r="F63" s="12">
        <f>'Synthèse prix'!I62</f>
        <v/>
      </c>
      <c r="G63" s="12">
        <f>'Synthèse prix'!J62</f>
        <v/>
      </c>
      <c r="H63" s="12">
        <f>'Synthèse prix'!N62</f>
        <v/>
      </c>
      <c r="I63" s="12">
        <f>'Synthèse prix'!S62</f>
        <v/>
      </c>
      <c r="J63" s="12">
        <f>'Synthèse prix'!T62</f>
        <v/>
      </c>
      <c r="K63" s="12">
        <f>'Synthèse prix'!U62</f>
        <v/>
      </c>
      <c r="L63" s="12">
        <f>'Synthèse prix'!V62</f>
        <v/>
      </c>
      <c r="M63" s="12">
        <f>'Synthèse prix'!Q62</f>
        <v/>
      </c>
    </row>
    <row r="64">
      <c r="A64" s="20" t="n">
        <v>62</v>
      </c>
      <c r="B64" s="20">
        <f>'Synthèse prix'!A5</f>
        <v/>
      </c>
      <c r="C64" s="20" t="inlineStr">
        <is>
          <t>Whey Recovery</t>
        </is>
      </c>
      <c r="D64" s="20" t="inlineStr">
        <is>
          <t>525g</t>
        </is>
      </c>
      <c r="E64" s="20">
        <f>'Synthèse prix'!H5</f>
        <v/>
      </c>
      <c r="F64" s="20">
        <f>'Synthèse prix'!I5</f>
        <v/>
      </c>
      <c r="G64" s="20">
        <f>'Synthèse prix'!J5</f>
        <v/>
      </c>
      <c r="H64" s="20">
        <f>'Synthèse prix'!N5</f>
        <v/>
      </c>
      <c r="I64" s="20">
        <f>'Synthèse prix'!S5</f>
        <v/>
      </c>
      <c r="J64" s="20">
        <f>'Synthèse prix'!T5</f>
        <v/>
      </c>
      <c r="K64" s="20">
        <f>'Synthèse prix'!U5</f>
        <v/>
      </c>
      <c r="L64" s="20">
        <f>'Synthèse prix'!V5</f>
        <v/>
      </c>
      <c r="M64" s="20">
        <f>'Synthèse prix'!Q5</f>
        <v/>
      </c>
    </row>
    <row r="65">
      <c r="A65" s="20" t="n">
        <v>63</v>
      </c>
      <c r="B65" s="20">
        <f>'Synthèse prix'!A6</f>
        <v/>
      </c>
      <c r="C65" s="20" t="inlineStr">
        <is>
          <t>Whey Recovery</t>
        </is>
      </c>
      <c r="D65" s="20" t="inlineStr">
        <is>
          <t>525g</t>
        </is>
      </c>
      <c r="E65" s="20">
        <f>'Synthèse prix'!H6</f>
        <v/>
      </c>
      <c r="F65" s="20">
        <f>'Synthèse prix'!I6</f>
        <v/>
      </c>
      <c r="G65" s="20">
        <f>'Synthèse prix'!J6</f>
        <v/>
      </c>
      <c r="H65" s="20">
        <f>'Synthèse prix'!N6</f>
        <v/>
      </c>
      <c r="I65" s="20">
        <f>'Synthèse prix'!S6</f>
        <v/>
      </c>
      <c r="J65" s="20">
        <f>'Synthèse prix'!T6</f>
        <v/>
      </c>
      <c r="K65" s="20">
        <f>'Synthèse prix'!U6</f>
        <v/>
      </c>
      <c r="L65" s="20">
        <f>'Synthèse prix'!V6</f>
        <v/>
      </c>
      <c r="M65" s="20">
        <f>'Synthèse prix'!Q6</f>
        <v/>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2026-04-14T09:46:31Z</dcterms:created>
  <dcterms:modified xmlns:dcterms="http://purl.org/dc/terms/" xmlns:xsi="http://www.w3.org/2001/XMLSchema-instance" xsi:type="dcterms:W3CDTF">2026-04-14T09:46:31Z</dcterms:modified>
</cp:coreProperties>
</file>