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0" yWindow="-16320" windowWidth="29040" windowHeight="15720" tabRatio="600" firstSheet="4" activeTab="4" autoFilterDateGrouping="1"/>
  </bookViews>
  <sheets>
    <sheet xmlns:r="http://schemas.openxmlformats.org/officeDocument/2006/relationships" name="Pricing Grille" sheetId="1" state="visible" r:id="rId1"/>
    <sheet xmlns:r="http://schemas.openxmlformats.org/officeDocument/2006/relationships" name="Benchmark détaillé" sheetId="2" state="visible" r:id="rId2"/>
    <sheet xmlns:r="http://schemas.openxmlformats.org/officeDocument/2006/relationships" name="Synthèse prix" sheetId="3" state="visible" r:id="rId3"/>
    <sheet xmlns:r="http://schemas.openxmlformats.org/officeDocument/2006/relationships" name="Discounts par marque" sheetId="4" state="visible" r:id="rId4"/>
    <sheet xmlns:r="http://schemas.openxmlformats.org/officeDocument/2006/relationships" name="Classement €⁄g protéine" sheetId="5" state="visible" r:id="rId5"/>
    <sheet xmlns:r="http://schemas.openxmlformats.org/officeDocument/2006/relationships" name="Data" sheetId="6" state="visible" r:id="rId6"/>
  </sheets>
  <definedNames/>
  <calcPr calcId="191029" fullCalcOnLoad="1"/>
</workbook>
</file>

<file path=xl/styles.xml><?xml version="1.0" encoding="utf-8"?>
<styleSheet xmlns="http://schemas.openxmlformats.org/spreadsheetml/2006/main">
  <numFmts count="10">
    <numFmt numFmtId="164" formatCode="0.00&quot; €&quot;"/>
    <numFmt numFmtId="165" formatCode="0.0000&quot; €&quot;"/>
    <numFmt numFmtId="166" formatCode="0&quot;%&quot;"/>
    <numFmt numFmtId="167" formatCode="#,##0.00\ \€"/>
    <numFmt numFmtId="168" formatCode="0.0%"/>
    <numFmt numFmtId="169" formatCode="\+0.0%;\-0.0%"/>
    <numFmt numFmtId="170" formatCode="#,##0.00\ &quot;€&quot;;[Red]\-#,##0.00\ &quot;€&quot;"/>
    <numFmt numFmtId="171" formatCode="\+0.0%"/>
    <numFmt numFmtId="172" formatCode="#,##0.00&quot; €&quot;"/>
    <numFmt numFmtId="173" formatCode="#,##0.00&quot; €&quot;;[Red]-#,##0.00&quot; €&quot;"/>
  </numFmts>
  <fonts count="44">
    <font>
      <name val="Calibri"/>
      <family val="2"/>
      <color theme="1"/>
      <sz val="11"/>
      <scheme val="minor"/>
    </font>
    <font>
      <name val="Calibri"/>
      <b val="1"/>
      <color rgb="FFFFFFFF"/>
      <sz val="11"/>
    </font>
    <font>
      <name val="Calibri"/>
      <b val="1"/>
      <sz val="11"/>
    </font>
    <font>
      <name val="Calibri"/>
      <b val="1"/>
      <color rgb="FFFFFFFF"/>
      <sz val="12"/>
    </font>
    <font>
      <name val="Calibri"/>
      <i val="1"/>
      <color rgb="FF1F3864"/>
      <sz val="11"/>
    </font>
    <font>
      <name val="Calibri"/>
      <i val="1"/>
      <color rgb="FF666666"/>
      <sz val="11"/>
    </font>
    <font>
      <name val="Calibri"/>
      <family val="2"/>
      <color theme="10"/>
      <sz val="11"/>
      <u val="single"/>
      <scheme val="minor"/>
    </font>
    <font>
      <name val="Calibri"/>
      <family val="2"/>
      <b val="1"/>
      <color theme="1"/>
      <sz val="11"/>
      <scheme val="minor"/>
    </font>
    <font>
      <name val="Calibri"/>
      <family val="2"/>
      <b val="1"/>
      <color rgb="FF1F4E79"/>
      <sz val="14"/>
      <scheme val="minor"/>
    </font>
    <font>
      <name val="Calibri"/>
      <family val="2"/>
      <i val="1"/>
      <color rgb="FF1F4E79"/>
      <sz val="11"/>
      <scheme val="minor"/>
    </font>
    <font>
      <name val="Calibri"/>
      <family val="2"/>
      <b val="1"/>
      <color rgb="FFFFFFFF"/>
      <sz val="11"/>
      <scheme val="minor"/>
    </font>
    <font>
      <name val="Calibri"/>
      <family val="2"/>
      <color rgb="FF0000FF"/>
      <sz val="11"/>
      <scheme val="minor"/>
    </font>
    <font>
      <name val="Calibri"/>
      <family val="2"/>
      <b val="1"/>
      <color rgb="FF0000FF"/>
      <sz val="11"/>
      <scheme val="minor"/>
    </font>
    <font>
      <name val="Tahoma"/>
      <charset val="1"/>
      <color indexed="81"/>
      <sz val="9"/>
    </font>
    <font>
      <name val="Tahoma"/>
      <charset val="1"/>
      <b val="1"/>
      <color indexed="81"/>
      <sz val="9"/>
    </font>
    <font>
      <name val="Calibri"/>
      <family val="2"/>
      <b val="1"/>
      <color rgb="FFFFFFFF"/>
      <sz val="12"/>
      <scheme val="minor"/>
    </font>
    <font>
      <name val="Calibri"/>
      <family val="2"/>
      <b val="1"/>
      <color rgb="FF006100"/>
      <sz val="11"/>
      <scheme val="minor"/>
    </font>
    <font>
      <name val="Calibri"/>
      <family val="2"/>
      <b val="1"/>
      <color rgb="FF006100"/>
      <sz val="14"/>
      <scheme val="minor"/>
    </font>
    <font>
      <name val="Calibri"/>
      <family val="2"/>
      <b val="1"/>
      <color rgb="FF9C0006"/>
      <sz val="11"/>
      <scheme val="minor"/>
    </font>
    <font>
      <name val="Calibri"/>
      <family val="2"/>
      <b val="1"/>
      <color rgb="FF9C0006"/>
      <sz val="14"/>
      <scheme val="minor"/>
    </font>
    <font>
      <name val="Calibri"/>
      <family val="2"/>
      <b val="1"/>
      <color rgb="FF1F4E79"/>
      <sz val="11"/>
      <scheme val="minor"/>
    </font>
    <font>
      <name val="Calibri"/>
      <family val="2"/>
      <b val="1"/>
      <color rgb="FFC00000"/>
      <sz val="11"/>
      <scheme val="minor"/>
    </font>
    <font>
      <name val="Arial"/>
      <family val="2"/>
      <b val="1"/>
      <color rgb="FF005555"/>
      <sz val="8"/>
    </font>
    <font>
      <name val="Arial"/>
      <family val="2"/>
      <b val="1"/>
      <color rgb="FFF08372"/>
      <sz val="8"/>
    </font>
    <font>
      <name val="Arial"/>
      <family val="2"/>
      <b val="1"/>
      <i val="1"/>
      <color rgb="FFF08372"/>
      <sz val="8"/>
    </font>
    <font>
      <name val="Arial"/>
      <family val="2"/>
      <color rgb="FF000000"/>
      <sz val="8"/>
    </font>
    <font>
      <name val="Arial"/>
      <b val="1"/>
      <color rgb="000F172A"/>
      <sz val="16"/>
    </font>
    <font>
      <name val="Arial"/>
      <i val="1"/>
      <color rgb="0064748B"/>
      <sz val="9"/>
    </font>
    <font>
      <name val="Arial"/>
      <b val="1"/>
      <color rgb="0064748B"/>
      <sz val="8"/>
    </font>
    <font>
      <name val="Arial"/>
      <i val="1"/>
      <color rgb="0064748B"/>
      <sz val="8"/>
    </font>
    <font>
      <name val="Consolas"/>
      <b val="1"/>
      <color rgb="000F172A"/>
      <sz val="10"/>
    </font>
    <font>
      <name val="Arial"/>
      <b val="1"/>
      <color rgb="00FFFFFF"/>
      <sz val="11"/>
    </font>
    <font>
      <name val="Arial"/>
      <b val="1"/>
      <color rgb="000F172A"/>
      <sz val="12"/>
    </font>
    <font>
      <name val="Arial"/>
      <b val="1"/>
      <color rgb="00DC2626"/>
      <sz val="14"/>
    </font>
    <font>
      <name val="Arial"/>
      <b val="1"/>
      <color rgb="000F172A"/>
      <sz val="11"/>
    </font>
    <font>
      <name val="Consolas"/>
      <color rgb="000F172A"/>
      <sz val="9"/>
    </font>
    <font>
      <name val="Arial"/>
      <b val="1"/>
      <color rgb="00FFFFFF"/>
      <sz val="9"/>
    </font>
    <font>
      <name val="Arial"/>
      <b val="1"/>
      <color rgb="0064748B"/>
      <sz val="9"/>
    </font>
    <font>
      <name val="Arial"/>
      <b val="1"/>
      <color rgb="001D4ED8"/>
      <sz val="10"/>
    </font>
    <font>
      <name val="Arial"/>
      <b val="1"/>
      <color rgb="00047857"/>
      <sz val="10"/>
    </font>
    <font>
      <name val="Arial"/>
      <b val="1"/>
      <color rgb="00B91C1C"/>
      <sz val="10"/>
    </font>
    <font>
      <name val="Arial"/>
      <color rgb="000F172A"/>
      <sz val="9"/>
    </font>
    <font>
      <name val="Arial"/>
      <b val="1"/>
      <color rgb="000F172A"/>
      <sz val="9"/>
    </font>
    <font>
      <name val="Consolas"/>
      <b val="1"/>
      <color rgb="000F172A"/>
      <sz val="11"/>
    </font>
  </fonts>
  <fills count="30">
    <fill>
      <patternFill/>
    </fill>
    <fill>
      <patternFill patternType="gray125"/>
    </fill>
    <fill>
      <patternFill patternType="solid">
        <fgColor rgb="FF4472C4"/>
        <bgColor rgb="FF4472C4"/>
      </patternFill>
    </fill>
    <fill>
      <patternFill patternType="solid">
        <fgColor rgb="FF1F3864"/>
        <bgColor rgb="FF1F3864"/>
      </patternFill>
    </fill>
    <fill>
      <patternFill patternType="solid">
        <fgColor rgb="FFC00000"/>
        <bgColor rgb="FFC00000"/>
      </patternFill>
    </fill>
    <fill>
      <patternFill patternType="solid">
        <fgColor rgb="FFD9E1F2"/>
        <bgColor rgb="FFD9E1F2"/>
      </patternFill>
    </fill>
    <fill>
      <patternFill patternType="solid">
        <fgColor rgb="FFFFF2CC"/>
        <bgColor rgb="FFFFF2CC"/>
      </patternFill>
    </fill>
    <fill>
      <patternFill patternType="solid">
        <fgColor rgb="FFE8F0FE"/>
        <bgColor rgb="FFE8F0FE"/>
      </patternFill>
    </fill>
    <fill>
      <patternFill patternType="solid">
        <fgColor rgb="FFD6E4F0"/>
        <bgColor indexed="64"/>
      </patternFill>
    </fill>
    <fill>
      <patternFill patternType="solid">
        <fgColor rgb="FF1F4E79"/>
        <bgColor indexed="64"/>
      </patternFill>
    </fill>
    <fill>
      <patternFill patternType="solid">
        <fgColor rgb="FFFFF2CC"/>
        <bgColor indexed="64"/>
      </patternFill>
    </fill>
    <fill>
      <patternFill patternType="solid">
        <fgColor rgb="FFFFFF00"/>
        <bgColor indexed="64"/>
      </patternFill>
    </fill>
    <fill>
      <patternFill patternType="solid">
        <fgColor rgb="FFC6EFCE"/>
        <bgColor indexed="64"/>
      </patternFill>
    </fill>
    <fill>
      <patternFill patternType="solid">
        <fgColor rgb="FFBDD7EE"/>
        <bgColor indexed="64"/>
      </patternFill>
    </fill>
    <fill>
      <patternFill patternType="solid">
        <fgColor rgb="FFFFC7CE"/>
        <bgColor indexed="64"/>
      </patternFill>
    </fill>
    <fill>
      <patternFill patternType="solid">
        <fgColor rgb="FF548235"/>
        <bgColor indexed="64"/>
      </patternFill>
    </fill>
    <fill>
      <patternFill patternType="solid">
        <fgColor rgb="FFF2F2F2"/>
        <bgColor indexed="64"/>
      </patternFill>
    </fill>
    <fill>
      <patternFill patternType="solid">
        <fgColor rgb="FF2E75B6"/>
        <bgColor indexed="64"/>
      </patternFill>
    </fill>
    <fill>
      <patternFill patternType="solid">
        <fgColor rgb="FFC00000"/>
        <bgColor indexed="64"/>
      </patternFill>
    </fill>
    <fill>
      <patternFill patternType="solid">
        <fgColor rgb="FFCCF2ED"/>
        <bgColor rgb="FF000000"/>
      </patternFill>
    </fill>
    <fill>
      <patternFill patternType="solid">
        <fgColor rgb="FF006100"/>
        <bgColor indexed="64"/>
      </patternFill>
    </fill>
    <fill>
      <patternFill patternType="solid">
        <fgColor rgb="00FEF3C7"/>
        <bgColor rgb="00FEF3C7"/>
      </patternFill>
    </fill>
    <fill>
      <patternFill patternType="solid">
        <fgColor rgb="001D4ED8"/>
        <bgColor rgb="001D4ED8"/>
      </patternFill>
    </fill>
    <fill>
      <patternFill patternType="solid">
        <fgColor rgb="00047857"/>
        <bgColor rgb="00047857"/>
      </patternFill>
    </fill>
    <fill>
      <patternFill patternType="solid">
        <fgColor rgb="00B91C1C"/>
        <bgColor rgb="00B91C1C"/>
      </patternFill>
    </fill>
    <fill>
      <patternFill patternType="solid">
        <fgColor rgb="00F59E0B"/>
        <bgColor rgb="00F59E0B"/>
      </patternFill>
    </fill>
    <fill>
      <patternFill patternType="solid">
        <fgColor rgb="00DC2626"/>
        <bgColor rgb="00DC2626"/>
      </patternFill>
    </fill>
    <fill>
      <patternFill patternType="solid">
        <fgColor rgb="0064748B"/>
        <bgColor rgb="0064748B"/>
      </patternFill>
    </fill>
    <fill>
      <patternFill patternType="solid">
        <fgColor rgb="00F1F5F9"/>
        <bgColor rgb="00F1F5F9"/>
      </patternFill>
    </fill>
    <fill>
      <patternFill patternType="solid">
        <fgColor rgb="000F172A"/>
        <bgColor rgb="000F172A"/>
      </patternFill>
    </fill>
  </fills>
  <borders count="46">
    <border>
      <left/>
      <right/>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medium">
        <color auto="1"/>
      </top>
      <bottom/>
      <diagonal/>
    </border>
    <border>
      <left/>
      <right style="thin">
        <color rgb="FFA6A6A6"/>
      </right>
      <top style="medium">
        <color auto="1"/>
      </top>
      <bottom style="thin">
        <color rgb="FFA6A6A6"/>
      </bottom>
      <diagonal/>
    </border>
    <border>
      <left style="thin">
        <color rgb="FFA6A6A6"/>
      </left>
      <right style="thin">
        <color rgb="FFA6A6A6"/>
      </right>
      <top style="medium">
        <color auto="1"/>
      </top>
      <bottom style="thin">
        <color rgb="FFA6A6A6"/>
      </bottom>
      <diagonal/>
    </border>
    <border>
      <left style="thin">
        <color rgb="FFA6A6A6"/>
      </left>
      <right/>
      <top style="medium">
        <color auto="1"/>
      </top>
      <bottom style="thin">
        <color rgb="FFA6A6A6"/>
      </bottom>
      <diagonal/>
    </border>
    <border>
      <left/>
      <right style="thin">
        <color rgb="FFA6A6A6"/>
      </right>
      <top style="thin">
        <color rgb="FFA6A6A6"/>
      </top>
      <bottom style="medium">
        <color auto="1"/>
      </bottom>
      <diagonal/>
    </border>
    <border>
      <left style="thin">
        <color rgb="FFA6A6A6"/>
      </left>
      <right style="thin">
        <color rgb="FFA6A6A6"/>
      </right>
      <top style="thin">
        <color rgb="FFA6A6A6"/>
      </top>
      <bottom style="medium">
        <color auto="1"/>
      </bottom>
      <diagonal/>
    </border>
    <border>
      <left style="thin">
        <color rgb="FFA6A6A6"/>
      </left>
      <right/>
      <top style="thin">
        <color rgb="FFA6A6A6"/>
      </top>
      <bottom style="medium">
        <color auto="1"/>
      </bottom>
      <diagonal/>
    </border>
    <border>
      <left style="medium">
        <color auto="1"/>
      </left>
      <right style="thin">
        <color rgb="FFA6A6A6"/>
      </right>
      <top style="medium">
        <color auto="1"/>
      </top>
      <bottom style="thin">
        <color rgb="FFA6A6A6"/>
      </bottom>
      <diagonal/>
    </border>
    <border>
      <left style="medium">
        <color auto="1"/>
      </left>
      <right style="thin">
        <color rgb="FFA6A6A6"/>
      </right>
      <top style="thin">
        <color rgb="FFA6A6A6"/>
      </top>
      <bottom style="thin">
        <color rgb="FFA6A6A6"/>
      </bottom>
      <diagonal/>
    </border>
    <border>
      <left style="medium">
        <color auto="1"/>
      </left>
      <right style="thin">
        <color rgb="FFA6A6A6"/>
      </right>
      <top style="thin">
        <color rgb="FFA6A6A6"/>
      </top>
      <bottom style="medium">
        <color auto="1"/>
      </bottom>
      <diagonal/>
    </border>
    <border>
      <left/>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1F4E79"/>
      </left>
      <right style="thin">
        <color rgb="FFA6A6A6"/>
      </right>
      <top style="medium">
        <color auto="1"/>
      </top>
      <bottom style="thin">
        <color rgb="FFA6A6A6"/>
      </bottom>
      <diagonal/>
    </border>
    <border>
      <left style="medium">
        <color rgb="FF1F4E79"/>
      </left>
      <right style="thin">
        <color rgb="FFA6A6A6"/>
      </right>
      <top style="thin">
        <color rgb="FFA6A6A6"/>
      </top>
      <bottom style="thin">
        <color rgb="FFA6A6A6"/>
      </bottom>
      <diagonal/>
    </border>
    <border>
      <left style="medium">
        <color rgb="FF1F4E79"/>
      </left>
      <right style="thin">
        <color rgb="FFA6A6A6"/>
      </right>
      <top style="thin">
        <color rgb="FFA6A6A6"/>
      </top>
      <bottom style="medium">
        <color auto="1"/>
      </bottom>
      <diagonal/>
    </border>
    <border>
      <left/>
      <right style="medium">
        <color auto="1"/>
      </right>
      <top style="medium">
        <color auto="1"/>
      </top>
      <bottom style="thin">
        <color rgb="FFA6A6A6"/>
      </bottom>
      <diagonal/>
    </border>
    <border>
      <left/>
      <right style="medium">
        <color auto="1"/>
      </right>
      <top style="thin">
        <color rgb="FFA6A6A6"/>
      </top>
      <bottom style="thin">
        <color rgb="FFA6A6A6"/>
      </bottom>
      <diagonal/>
    </border>
    <border>
      <left/>
      <right style="medium">
        <color auto="1"/>
      </right>
      <top style="thin">
        <color rgb="FFA6A6A6"/>
      </top>
      <bottom style="medium">
        <color auto="1"/>
      </bottom>
      <diagonal/>
    </border>
    <border>
      <left style="medium">
        <color rgb="FF548235"/>
      </left>
      <right style="thin">
        <color rgb="FFA6A6A6"/>
      </right>
      <top style="medium">
        <color auto="1"/>
      </top>
      <bottom style="thin">
        <color rgb="FFA6A6A6"/>
      </bottom>
      <diagonal/>
    </border>
    <border>
      <left style="medium">
        <color rgb="FF548235"/>
      </left>
      <right style="thin">
        <color rgb="FFA6A6A6"/>
      </right>
      <top style="thin">
        <color rgb="FFA6A6A6"/>
      </top>
      <bottom style="thin">
        <color rgb="FFA6A6A6"/>
      </bottom>
      <diagonal/>
    </border>
    <border>
      <left style="medium">
        <color rgb="FF548235"/>
      </left>
      <right style="thin">
        <color rgb="FFA6A6A6"/>
      </right>
      <top style="thin">
        <color rgb="FFA6A6A6"/>
      </top>
      <bottom style="medium">
        <color auto="1"/>
      </bottom>
      <diagonal/>
    </border>
    <border>
      <left/>
      <right/>
      <top style="thin">
        <color rgb="FF005555"/>
      </top>
      <bottom/>
      <diagonal/>
    </border>
    <border>
      <left/>
      <right/>
      <top/>
      <bottom style="thin">
        <color rgb="FF005555"/>
      </bottom>
      <diagonal/>
    </border>
    <border>
      <left style="medium">
        <color rgb="FF2E75B6"/>
      </left>
      <right style="thin">
        <color rgb="FFA6A6A6"/>
      </right>
      <top style="medium">
        <color auto="1"/>
      </top>
      <bottom style="thin">
        <color rgb="FFA6A6A6"/>
      </bottom>
      <diagonal/>
    </border>
    <border>
      <left style="medium">
        <color rgb="FF2E75B6"/>
      </left>
      <right style="thin">
        <color rgb="FFA6A6A6"/>
      </right>
      <top style="thin">
        <color rgb="FFA6A6A6"/>
      </top>
      <bottom style="thin">
        <color rgb="FFA6A6A6"/>
      </bottom>
      <diagonal/>
    </border>
    <border>
      <left style="medium">
        <color rgb="FF2E75B6"/>
      </left>
      <right style="thin">
        <color rgb="FFA6A6A6"/>
      </right>
      <top style="thin">
        <color rgb="FFA6A6A6"/>
      </top>
      <bottom style="medium">
        <color auto="1"/>
      </bottom>
      <diagonal/>
    </border>
    <border>
      <left/>
      <right/>
      <top style="medium">
        <color auto="1"/>
      </top>
      <bottom style="thin">
        <color rgb="FFA6A6A6"/>
      </bottom>
      <diagonal/>
    </border>
    <border>
      <left/>
      <right/>
      <top style="thin">
        <color rgb="FFA6A6A6"/>
      </top>
      <bottom style="medium">
        <color auto="1"/>
      </bottom>
      <diagonal/>
    </border>
    <border>
      <left/>
      <right/>
      <top style="thin">
        <color rgb="FF005555"/>
      </top>
      <bottom style="thin">
        <color rgb="FF005555"/>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top style="thin">
        <color rgb="000F172A"/>
      </top>
    </border>
    <border>
      <left/>
      <right/>
      <top style="thin">
        <color rgb="000F172A"/>
      </top>
      <bottom/>
      <diagonal/>
    </border>
  </borders>
  <cellStyleXfs count="2">
    <xf numFmtId="0" fontId="0" fillId="0" borderId="0"/>
    <xf numFmtId="0" fontId="6" fillId="0" borderId="0"/>
  </cellStyleXfs>
  <cellXfs count="223">
    <xf numFmtId="0" fontId="0" fillId="0" borderId="0" pivotButton="0" quotePrefix="0" xfId="0"/>
    <xf numFmtId="0" fontId="1" fillId="3" borderId="0" pivotButton="0" quotePrefix="0" xfId="0"/>
    <xf numFmtId="0" fontId="1" fillId="4" borderId="0" applyAlignment="1" pivotButton="0" quotePrefix="0" xfId="0">
      <alignment horizontal="center" vertical="center"/>
    </xf>
    <xf numFmtId="0" fontId="1" fillId="3" borderId="0" applyAlignment="1" pivotButton="0" quotePrefix="0" xfId="0">
      <alignment horizontal="center" vertical="center"/>
    </xf>
    <xf numFmtId="0" fontId="2" fillId="5" borderId="0" pivotButton="0" quotePrefix="0" xfId="0"/>
    <xf numFmtId="0" fontId="2" fillId="6"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pivotButton="0" quotePrefix="0" xfId="0"/>
    <xf numFmtId="0" fontId="0" fillId="2" borderId="0" pivotButton="0" quotePrefix="0" xfId="0"/>
    <xf numFmtId="0" fontId="0" fillId="6" borderId="0" applyAlignment="1" pivotButton="0" quotePrefix="0" xfId="0">
      <alignment horizontal="left" vertical="center" wrapText="1"/>
    </xf>
    <xf numFmtId="0" fontId="0" fillId="0" borderId="0" applyAlignment="1" pivotButton="0" quotePrefix="0" xfId="0">
      <alignment horizontal="left" vertical="center" wrapText="1"/>
    </xf>
    <xf numFmtId="0" fontId="4" fillId="6" borderId="0" pivotButton="0" quotePrefix="0" xfId="0"/>
    <xf numFmtId="0" fontId="4" fillId="7" borderId="0" pivotButton="0" quotePrefix="0" xfId="0"/>
    <xf numFmtId="164" fontId="4" fillId="6" borderId="0" pivotButton="0" quotePrefix="0" xfId="0"/>
    <xf numFmtId="164" fontId="4" fillId="7" borderId="0" pivotButton="0" quotePrefix="0" xfId="0"/>
    <xf numFmtId="165" fontId="4" fillId="6" borderId="0" pivotButton="0" quotePrefix="0" xfId="0"/>
    <xf numFmtId="165" fontId="4" fillId="7" borderId="0" pivotButton="0" quotePrefix="0" xfId="0"/>
    <xf numFmtId="166" fontId="4" fillId="6" borderId="0" pivotButton="0" quotePrefix="0" xfId="0"/>
    <xf numFmtId="166" fontId="4" fillId="7" borderId="0" pivotButton="0" quotePrefix="0" xfId="0"/>
    <xf numFmtId="0" fontId="1" fillId="2" borderId="0" applyAlignment="1" pivotButton="0" quotePrefix="0" xfId="0">
      <alignment horizontal="center" vertical="center"/>
    </xf>
    <xf numFmtId="0" fontId="0" fillId="6" borderId="0" pivotButton="0" quotePrefix="0" xfId="0"/>
    <xf numFmtId="0" fontId="1" fillId="2" borderId="0" pivotButton="0" quotePrefix="0" xfId="0"/>
    <xf numFmtId="0" fontId="6" fillId="0" borderId="0" pivotButton="0" quotePrefix="0" xfId="1"/>
    <xf numFmtId="0" fontId="5" fillId="0" borderId="0" pivotButton="0" quotePrefix="0" xfId="0"/>
    <xf numFmtId="0" fontId="0" fillId="0" borderId="0" pivotButton="0" quotePrefix="0" xfId="0"/>
    <xf numFmtId="0" fontId="8" fillId="8" borderId="0" pivotButton="0" quotePrefix="0" xfId="0"/>
    <xf numFmtId="0" fontId="9" fillId="8" borderId="0" pivotButton="0" quotePrefix="0" xfId="0"/>
    <xf numFmtId="0" fontId="10" fillId="9" borderId="0" pivotButton="0" quotePrefix="0" xfId="0"/>
    <xf numFmtId="0" fontId="0" fillId="9" borderId="0" pivotButton="0" quotePrefix="0" xfId="0"/>
    <xf numFmtId="0" fontId="7" fillId="0" borderId="0" pivotButton="0" quotePrefix="0" xfId="0"/>
    <xf numFmtId="167" fontId="12" fillId="0" borderId="0" pivotButton="0" quotePrefix="0" xfId="0"/>
    <xf numFmtId="168" fontId="0" fillId="0" borderId="0" pivotButton="0" quotePrefix="0" xfId="0"/>
    <xf numFmtId="167" fontId="0" fillId="0" borderId="0" pivotButton="0" quotePrefix="0" xfId="0"/>
    <xf numFmtId="167" fontId="7" fillId="10" borderId="0" pivotButton="0" quotePrefix="0" xfId="0"/>
    <xf numFmtId="0" fontId="0" fillId="8" borderId="0" pivotButton="0" quotePrefix="0" xfId="0"/>
    <xf numFmtId="0" fontId="0" fillId="0" borderId="0" applyAlignment="1" pivotButton="0" quotePrefix="0" xfId="0">
      <alignment wrapText="1"/>
    </xf>
    <xf numFmtId="0" fontId="10" fillId="9" borderId="0" applyAlignment="1" pivotButton="0" quotePrefix="0" xfId="0">
      <alignment horizontal="center" wrapText="1"/>
    </xf>
    <xf numFmtId="167" fontId="12" fillId="0" borderId="0" applyAlignment="1" pivotButton="0" quotePrefix="0" xfId="0">
      <alignment horizontal="center"/>
    </xf>
    <xf numFmtId="167" fontId="0" fillId="0" borderId="0" applyAlignment="1" pivotButton="0" quotePrefix="0" xfId="0">
      <alignment horizontal="center"/>
    </xf>
    <xf numFmtId="168" fontId="0" fillId="0" borderId="0" applyAlignment="1" pivotButton="0" quotePrefix="0" xfId="0">
      <alignment horizontal="center"/>
    </xf>
    <xf numFmtId="169" fontId="0" fillId="0" borderId="0" applyAlignment="1" pivotButton="0" quotePrefix="0" xfId="0">
      <alignment horizontal="center"/>
    </xf>
    <xf numFmtId="0" fontId="7" fillId="0" borderId="0" applyAlignment="1" pivotButton="0" quotePrefix="0" xfId="0">
      <alignment horizontal="center"/>
    </xf>
    <xf numFmtId="169" fontId="0" fillId="0" borderId="1" applyAlignment="1" pivotButton="0" quotePrefix="0" xfId="0">
      <alignment horizontal="center"/>
    </xf>
    <xf numFmtId="167" fontId="0" fillId="0" borderId="3" applyAlignment="1" pivotButton="0" quotePrefix="0" xfId="0">
      <alignment horizontal="center"/>
    </xf>
    <xf numFmtId="168" fontId="0" fillId="0" borderId="3" applyAlignment="1" pivotButton="0" quotePrefix="0" xfId="0">
      <alignment horizontal="center"/>
    </xf>
    <xf numFmtId="167" fontId="12" fillId="0" borderId="3" applyAlignment="1" pivotButton="0" quotePrefix="0" xfId="0">
      <alignment horizontal="center"/>
    </xf>
    <xf numFmtId="167" fontId="12" fillId="11" borderId="3" applyAlignment="1" pivotButton="0" quotePrefix="0" xfId="0">
      <alignment horizontal="center"/>
    </xf>
    <xf numFmtId="0" fontId="10" fillId="9" borderId="7" applyAlignment="1" pivotButton="0" quotePrefix="0" xfId="0">
      <alignment horizontal="center" wrapText="1"/>
    </xf>
    <xf numFmtId="0" fontId="10" fillId="9" borderId="8" applyAlignment="1" pivotButton="0" quotePrefix="0" xfId="0">
      <alignment horizontal="center" wrapText="1"/>
    </xf>
    <xf numFmtId="167" fontId="12" fillId="0" borderId="10" applyAlignment="1" pivotButton="0" quotePrefix="0" xfId="0">
      <alignment horizontal="center"/>
    </xf>
    <xf numFmtId="0" fontId="15" fillId="9" borderId="0" pivotButton="0" quotePrefix="0" xfId="0"/>
    <xf numFmtId="0" fontId="15" fillId="15" borderId="0" pivotButton="0" quotePrefix="0" xfId="0"/>
    <xf numFmtId="0" fontId="0" fillId="15" borderId="0" pivotButton="0" quotePrefix="0" xfId="0"/>
    <xf numFmtId="0" fontId="8" fillId="8" borderId="0" pivotButton="0" quotePrefix="0" xfId="0"/>
    <xf numFmtId="0" fontId="9" fillId="8" borderId="0" pivotButton="0" quotePrefix="0" xfId="0"/>
    <xf numFmtId="0" fontId="7" fillId="0" borderId="0" pivotButton="0" quotePrefix="0" xfId="0"/>
    <xf numFmtId="0" fontId="0" fillId="0" borderId="15" pivotButton="0" quotePrefix="0" xfId="0"/>
    <xf numFmtId="0" fontId="10" fillId="9" borderId="16" pivotButton="0" quotePrefix="0" xfId="0"/>
    <xf numFmtId="0" fontId="7" fillId="0" borderId="17" pivotButton="0" quotePrefix="0" xfId="0"/>
    <xf numFmtId="0" fontId="0" fillId="0" borderId="17" pivotButton="0" quotePrefix="0" xfId="0"/>
    <xf numFmtId="0" fontId="10" fillId="9" borderId="17" pivotButton="0" quotePrefix="0" xfId="0"/>
    <xf numFmtId="0" fontId="0" fillId="0" borderId="18" pivotButton="0" quotePrefix="0" xfId="0"/>
    <xf numFmtId="0" fontId="0" fillId="9" borderId="19" pivotButton="0" quotePrefix="0" xfId="0"/>
    <xf numFmtId="167" fontId="12" fillId="0" borderId="20" pivotButton="0" quotePrefix="0" xfId="0"/>
    <xf numFmtId="167" fontId="11" fillId="0" borderId="20" pivotButton="0" quotePrefix="0" xfId="0"/>
    <xf numFmtId="168" fontId="0" fillId="0" borderId="20" pivotButton="0" quotePrefix="0" xfId="0"/>
    <xf numFmtId="0" fontId="0" fillId="0" borderId="20" pivotButton="0" quotePrefix="0" xfId="0"/>
    <xf numFmtId="0" fontId="0" fillId="9" borderId="20" pivotButton="0" quotePrefix="0" xfId="0"/>
    <xf numFmtId="167" fontId="0" fillId="0" borderId="20" pivotButton="0" quotePrefix="0" xfId="0"/>
    <xf numFmtId="167" fontId="7" fillId="10" borderId="20" pivotButton="0" quotePrefix="0" xfId="0"/>
    <xf numFmtId="167" fontId="0" fillId="0" borderId="21" pivotButton="0" quotePrefix="0" xfId="0"/>
    <xf numFmtId="167" fontId="17" fillId="0" borderId="0" pivotButton="0" quotePrefix="0" xfId="0"/>
    <xf numFmtId="0" fontId="0" fillId="12" borderId="5" pivotButton="0" quotePrefix="0" xfId="0"/>
    <xf numFmtId="0" fontId="16" fillId="12" borderId="16" pivotButton="0" quotePrefix="0" xfId="0"/>
    <xf numFmtId="0" fontId="7" fillId="0" borderId="18" pivotButton="0" quotePrefix="0" xfId="0"/>
    <xf numFmtId="0" fontId="0" fillId="0" borderId="21" pivotButton="0" quotePrefix="0" xfId="0"/>
    <xf numFmtId="167" fontId="19" fillId="0" borderId="0" pivotButton="0" quotePrefix="0" xfId="0"/>
    <xf numFmtId="0" fontId="0" fillId="14" borderId="5" pivotButton="0" quotePrefix="0" xfId="0"/>
    <xf numFmtId="0" fontId="18" fillId="14" borderId="16" pivotButton="0" quotePrefix="0" xfId="0"/>
    <xf numFmtId="167" fontId="8" fillId="0" borderId="0" pivotButton="0" quotePrefix="0" xfId="0"/>
    <xf numFmtId="0" fontId="0" fillId="13" borderId="5" pivotButton="0" quotePrefix="0" xfId="0"/>
    <xf numFmtId="0" fontId="20" fillId="13" borderId="16" pivotButton="0" quotePrefix="0" xfId="0"/>
    <xf numFmtId="167" fontId="0" fillId="16" borderId="3" applyAlignment="1" pivotButton="0" quotePrefix="0" xfId="0">
      <alignment horizontal="center"/>
    </xf>
    <xf numFmtId="168" fontId="0" fillId="16" borderId="3" applyAlignment="1" pivotButton="0" quotePrefix="0" xfId="0">
      <alignment horizontal="center"/>
    </xf>
    <xf numFmtId="167" fontId="12" fillId="16" borderId="3" applyAlignment="1" pivotButton="0" quotePrefix="0" xfId="0">
      <alignment horizontal="center"/>
    </xf>
    <xf numFmtId="0" fontId="0" fillId="0" borderId="15" applyAlignment="1" pivotButton="0" quotePrefix="0" xfId="0">
      <alignment wrapText="1"/>
    </xf>
    <xf numFmtId="168" fontId="12" fillId="0" borderId="20" pivotButton="0" quotePrefix="0" xfId="0"/>
    <xf numFmtId="0" fontId="10" fillId="9" borderId="0" applyAlignment="1" pivotButton="0" quotePrefix="0" xfId="0">
      <alignment horizontal="center"/>
    </xf>
    <xf numFmtId="0" fontId="10" fillId="15" borderId="0" applyAlignment="1" pivotButton="0" quotePrefix="0" xfId="0">
      <alignment horizontal="center" wrapText="1"/>
    </xf>
    <xf numFmtId="167" fontId="7" fillId="0" borderId="0" applyAlignment="1" pivotButton="0" quotePrefix="0" xfId="0">
      <alignment horizontal="center"/>
    </xf>
    <xf numFmtId="9" fontId="7" fillId="0" borderId="0" applyAlignment="1" pivotButton="0" quotePrefix="0" xfId="0">
      <alignment horizontal="center"/>
    </xf>
    <xf numFmtId="169" fontId="0" fillId="16" borderId="1" applyAlignment="1" pivotButton="0" quotePrefix="0" xfId="0">
      <alignment horizontal="center"/>
    </xf>
    <xf numFmtId="167" fontId="7" fillId="16" borderId="3" applyAlignment="1" pivotButton="0" quotePrefix="0" xfId="0">
      <alignment horizontal="center"/>
    </xf>
    <xf numFmtId="167" fontId="7" fillId="0" borderId="3" applyAlignment="1" pivotButton="0" quotePrefix="0" xfId="0">
      <alignment horizontal="center"/>
    </xf>
    <xf numFmtId="168" fontId="0" fillId="11" borderId="3" applyAlignment="1" pivotButton="0" quotePrefix="0" xfId="0">
      <alignment horizontal="center"/>
    </xf>
    <xf numFmtId="167" fontId="0" fillId="11" borderId="3" applyAlignment="1" pivotButton="0" quotePrefix="0" xfId="0">
      <alignment horizontal="center"/>
    </xf>
    <xf numFmtId="167" fontId="7" fillId="11" borderId="3" applyAlignment="1" pivotButton="0" quotePrefix="0" xfId="0">
      <alignment horizontal="center"/>
    </xf>
    <xf numFmtId="0" fontId="10" fillId="9" borderId="7" applyAlignment="1" pivotButton="0" quotePrefix="0" xfId="0">
      <alignment horizontal="center"/>
    </xf>
    <xf numFmtId="168" fontId="0" fillId="0" borderId="10" applyAlignment="1" pivotButton="0" quotePrefix="0" xfId="0">
      <alignment horizontal="center"/>
    </xf>
    <xf numFmtId="167" fontId="0" fillId="0" borderId="10" applyAlignment="1" pivotButton="0" quotePrefix="0" xfId="0">
      <alignment horizontal="center"/>
    </xf>
    <xf numFmtId="167" fontId="7" fillId="0" borderId="10" applyAlignment="1" pivotButton="0" quotePrefix="0" xfId="0">
      <alignment horizontal="center"/>
    </xf>
    <xf numFmtId="0" fontId="10" fillId="9" borderId="12" applyAlignment="1" pivotButton="0" quotePrefix="0" xfId="0">
      <alignment horizontal="center"/>
    </xf>
    <xf numFmtId="0" fontId="7" fillId="16" borderId="13" applyAlignment="1" pivotButton="0" quotePrefix="0" xfId="0">
      <alignment horizontal="center"/>
    </xf>
    <xf numFmtId="0" fontId="7" fillId="0" borderId="13" applyAlignment="1" pivotButton="0" quotePrefix="0" xfId="0">
      <alignment horizontal="center"/>
    </xf>
    <xf numFmtId="0" fontId="7" fillId="11" borderId="13" applyAlignment="1" pivotButton="0" quotePrefix="0" xfId="0">
      <alignment horizontal="center"/>
    </xf>
    <xf numFmtId="0" fontId="7" fillId="0" borderId="14" applyAlignment="1" pivotButton="0" quotePrefix="0" xfId="0">
      <alignment horizontal="center"/>
    </xf>
    <xf numFmtId="9" fontId="7" fillId="16" borderId="4" applyAlignment="1" pivotButton="0" quotePrefix="0" xfId="0">
      <alignment horizontal="center"/>
    </xf>
    <xf numFmtId="9" fontId="7" fillId="0" borderId="4" applyAlignment="1" pivotButton="0" quotePrefix="0" xfId="0">
      <alignment horizontal="center"/>
    </xf>
    <xf numFmtId="9" fontId="7" fillId="11" borderId="4" applyAlignment="1" pivotButton="0" quotePrefix="0" xfId="0">
      <alignment horizontal="center"/>
    </xf>
    <xf numFmtId="9" fontId="7" fillId="0" borderId="11" applyAlignment="1" pivotButton="0" quotePrefix="0" xfId="0">
      <alignment horizontal="center"/>
    </xf>
    <xf numFmtId="0" fontId="10" fillId="17" borderId="6" applyAlignment="1" pivotButton="0" quotePrefix="0" xfId="0">
      <alignment horizontal="center" wrapText="1"/>
    </xf>
    <xf numFmtId="169" fontId="0" fillId="16" borderId="2" applyAlignment="1" pivotButton="0" quotePrefix="0" xfId="0">
      <alignment horizontal="center"/>
    </xf>
    <xf numFmtId="169" fontId="0" fillId="0" borderId="2" applyAlignment="1" pivotButton="0" quotePrefix="0" xfId="0">
      <alignment horizontal="center"/>
    </xf>
    <xf numFmtId="169" fontId="0" fillId="11" borderId="2" applyAlignment="1" pivotButton="0" quotePrefix="0" xfId="0">
      <alignment horizontal="center"/>
    </xf>
    <xf numFmtId="169" fontId="0" fillId="0" borderId="9" applyAlignment="1" pivotButton="0" quotePrefix="0" xfId="0">
      <alignment horizontal="center"/>
    </xf>
    <xf numFmtId="0" fontId="10" fillId="17" borderId="22" applyAlignment="1" pivotButton="0" quotePrefix="0" xfId="0">
      <alignment horizontal="center" wrapText="1"/>
    </xf>
    <xf numFmtId="169" fontId="0" fillId="16" borderId="23" applyAlignment="1" pivotButton="0" quotePrefix="0" xfId="0">
      <alignment horizontal="center"/>
    </xf>
    <xf numFmtId="169" fontId="0" fillId="0" borderId="23" applyAlignment="1" pivotButton="0" quotePrefix="0" xfId="0">
      <alignment horizontal="center"/>
    </xf>
    <xf numFmtId="169" fontId="0" fillId="11" borderId="23" applyAlignment="1" pivotButton="0" quotePrefix="0" xfId="0">
      <alignment horizontal="center"/>
    </xf>
    <xf numFmtId="169" fontId="0" fillId="0" borderId="24" applyAlignment="1" pivotButton="0" quotePrefix="0" xfId="0">
      <alignment horizontal="center"/>
    </xf>
    <xf numFmtId="0" fontId="10" fillId="17" borderId="8" applyAlignment="1" pivotButton="0" quotePrefix="0" xfId="0">
      <alignment horizontal="center" wrapText="1"/>
    </xf>
    <xf numFmtId="169" fontId="0" fillId="16" borderId="4" applyAlignment="1" pivotButton="0" quotePrefix="0" xfId="0">
      <alignment horizontal="center"/>
    </xf>
    <xf numFmtId="169" fontId="0" fillId="0" borderId="4" applyAlignment="1" pivotButton="0" quotePrefix="0" xfId="0">
      <alignment horizontal="center"/>
    </xf>
    <xf numFmtId="169" fontId="0" fillId="11" borderId="4" applyAlignment="1" pivotButton="0" quotePrefix="0" xfId="0">
      <alignment horizontal="center"/>
    </xf>
    <xf numFmtId="169" fontId="0" fillId="0" borderId="11" applyAlignment="1" pivotButton="0" quotePrefix="0" xfId="0">
      <alignment horizontal="center"/>
    </xf>
    <xf numFmtId="0" fontId="10" fillId="15" borderId="25" applyAlignment="1" pivotButton="0" quotePrefix="0" xfId="0">
      <alignment horizontal="center" wrapText="1"/>
    </xf>
    <xf numFmtId="0" fontId="7" fillId="16" borderId="26" applyAlignment="1" pivotButton="0" quotePrefix="0" xfId="0">
      <alignment horizontal="center"/>
    </xf>
    <xf numFmtId="0" fontId="7" fillId="0" borderId="26" applyAlignment="1" pivotButton="0" quotePrefix="0" xfId="0">
      <alignment horizontal="center"/>
    </xf>
    <xf numFmtId="0" fontId="7" fillId="11" borderId="26" applyAlignment="1" pivotButton="0" quotePrefix="0" xfId="0">
      <alignment horizontal="center"/>
    </xf>
    <xf numFmtId="0" fontId="7" fillId="0" borderId="27" applyAlignment="1" pivotButton="0" quotePrefix="0" xfId="0">
      <alignment horizontal="center"/>
    </xf>
    <xf numFmtId="0" fontId="10" fillId="15" borderId="28" applyAlignment="1" pivotButton="0" quotePrefix="0" xfId="0">
      <alignment horizontal="center" wrapText="1"/>
    </xf>
    <xf numFmtId="0" fontId="7" fillId="16" borderId="29" applyAlignment="1" pivotButton="0" quotePrefix="0" xfId="0">
      <alignment horizontal="center"/>
    </xf>
    <xf numFmtId="0" fontId="7" fillId="0" borderId="29" applyAlignment="1" pivotButton="0" quotePrefix="0" xfId="0">
      <alignment horizontal="center"/>
    </xf>
    <xf numFmtId="0" fontId="7" fillId="11" borderId="29" applyAlignment="1" pivotButton="0" quotePrefix="0" xfId="0">
      <alignment horizontal="center"/>
    </xf>
    <xf numFmtId="0" fontId="7" fillId="0" borderId="30" applyAlignment="1" pivotButton="0" quotePrefix="0" xfId="0">
      <alignment horizontal="center"/>
    </xf>
    <xf numFmtId="0" fontId="18" fillId="14" borderId="0" pivotButton="0" quotePrefix="0" xfId="0"/>
    <xf numFmtId="0" fontId="0" fillId="0" borderId="5" pivotButton="0" quotePrefix="0" xfId="0"/>
    <xf numFmtId="0" fontId="0" fillId="0" borderId="19" pivotButton="0" quotePrefix="0" xfId="0"/>
    <xf numFmtId="9" fontId="17" fillId="0" borderId="20" pivotButton="0" quotePrefix="0" xfId="0"/>
    <xf numFmtId="9" fontId="19" fillId="0" borderId="20" pivotButton="0" quotePrefix="0" xfId="0"/>
    <xf numFmtId="9" fontId="8" fillId="0" borderId="20" pivotButton="0" quotePrefix="0" xfId="0"/>
    <xf numFmtId="0" fontId="10" fillId="18" borderId="0" pivotButton="0" quotePrefix="0" xfId="0"/>
    <xf numFmtId="0" fontId="0" fillId="18" borderId="0" pivotButton="0" quotePrefix="0" xfId="0"/>
    <xf numFmtId="167" fontId="21" fillId="0" borderId="0" pivotButton="0" quotePrefix="0" xfId="0"/>
    <xf numFmtId="0" fontId="23" fillId="19" borderId="31" applyAlignment="1" pivotButton="0" quotePrefix="0" xfId="0">
      <alignment horizontal="center" vertical="center" wrapText="1"/>
    </xf>
    <xf numFmtId="0" fontId="23" fillId="19" borderId="32" applyAlignment="1" pivotButton="0" quotePrefix="0" xfId="0">
      <alignment horizontal="center" vertical="center" wrapText="1"/>
    </xf>
    <xf numFmtId="0" fontId="24" fillId="19" borderId="31" applyAlignment="1" pivotButton="0" quotePrefix="0" xfId="0">
      <alignment horizontal="center" vertical="center" wrapText="1"/>
    </xf>
    <xf numFmtId="0" fontId="24" fillId="19" borderId="32" applyAlignment="1" pivotButton="0" quotePrefix="0" xfId="0">
      <alignment horizontal="center" vertical="center" wrapText="1"/>
    </xf>
    <xf numFmtId="0" fontId="25" fillId="0" borderId="0" applyAlignment="1" pivotButton="0" quotePrefix="0" xfId="0">
      <alignment vertical="center"/>
    </xf>
    <xf numFmtId="170" fontId="25" fillId="19" borderId="0" applyAlignment="1" pivotButton="0" quotePrefix="0" xfId="0">
      <alignment vertical="center"/>
    </xf>
    <xf numFmtId="10" fontId="25" fillId="0" borderId="0" applyAlignment="1" pivotButton="0" quotePrefix="0" xfId="0">
      <alignment vertical="center"/>
    </xf>
    <xf numFmtId="170" fontId="25" fillId="0" borderId="0" applyAlignment="1" pivotButton="0" quotePrefix="0" xfId="0">
      <alignment vertical="center"/>
    </xf>
    <xf numFmtId="9" fontId="25" fillId="0" borderId="0" applyAlignment="1" pivotButton="0" quotePrefix="0" xfId="0">
      <alignment vertical="center"/>
    </xf>
    <xf numFmtId="0" fontId="22" fillId="0" borderId="31" applyAlignment="1" pivotButton="0" quotePrefix="0" xfId="0">
      <alignment horizontal="center" vertical="center"/>
    </xf>
    <xf numFmtId="0" fontId="22" fillId="0" borderId="32" applyAlignment="1" pivotButton="0" quotePrefix="0" xfId="0">
      <alignment horizontal="center" vertical="center"/>
    </xf>
    <xf numFmtId="0" fontId="10" fillId="20" borderId="0" pivotButton="0" quotePrefix="0" xfId="0"/>
    <xf numFmtId="0" fontId="0" fillId="20" borderId="0" pivotButton="0" quotePrefix="0" xfId="0"/>
    <xf numFmtId="167" fontId="17" fillId="12" borderId="0" pivotButton="0" quotePrefix="0" xfId="0"/>
    <xf numFmtId="167" fontId="7" fillId="0" borderId="0" pivotButton="0" quotePrefix="0" xfId="0"/>
    <xf numFmtId="168" fontId="7" fillId="0" borderId="0" pivotButton="0" quotePrefix="0" xfId="0"/>
    <xf numFmtId="0" fontId="20" fillId="8" borderId="0" applyAlignment="1" pivotButton="0" quotePrefix="0" xfId="0">
      <alignment wrapText="1"/>
    </xf>
    <xf numFmtId="167" fontId="16" fillId="12" borderId="0" pivotButton="0" quotePrefix="0" xfId="0"/>
    <xf numFmtId="0" fontId="10" fillId="20" borderId="0" applyAlignment="1" pivotButton="0" quotePrefix="0" xfId="0">
      <alignment horizontal="center" wrapText="1"/>
    </xf>
    <xf numFmtId="0" fontId="10" fillId="15" borderId="0" applyAlignment="1" pivotButton="0" quotePrefix="0" xfId="0">
      <alignment horizontal="center"/>
    </xf>
    <xf numFmtId="0" fontId="10" fillId="17" borderId="33" applyAlignment="1" pivotButton="0" quotePrefix="0" xfId="0">
      <alignment horizontal="center" wrapText="1"/>
    </xf>
    <xf numFmtId="169" fontId="0" fillId="16" borderId="34" applyAlignment="1" pivotButton="0" quotePrefix="0" xfId="0">
      <alignment horizontal="center"/>
    </xf>
    <xf numFmtId="169" fontId="0" fillId="0" borderId="34" applyAlignment="1" pivotButton="0" quotePrefix="0" xfId="0">
      <alignment horizontal="center"/>
    </xf>
    <xf numFmtId="169" fontId="0" fillId="0" borderId="35" applyAlignment="1" pivotButton="0" quotePrefix="0" xfId="0">
      <alignment horizontal="center"/>
    </xf>
    <xf numFmtId="0" fontId="10" fillId="20" borderId="36" applyAlignment="1" pivotButton="0" quotePrefix="0" xfId="0">
      <alignment horizontal="center" wrapText="1"/>
    </xf>
    <xf numFmtId="169" fontId="0" fillId="0" borderId="37" applyAlignment="1" pivotButton="0" quotePrefix="0" xfId="0">
      <alignment horizontal="center"/>
    </xf>
    <xf numFmtId="0" fontId="10" fillId="15" borderId="25" applyAlignment="1" pivotButton="0" quotePrefix="0" xfId="0">
      <alignment horizontal="center"/>
    </xf>
    <xf numFmtId="0" fontId="10" fillId="20" borderId="17" pivotButton="0" quotePrefix="0" xfId="0"/>
    <xf numFmtId="0" fontId="0" fillId="20" borderId="20" pivotButton="0" quotePrefix="0" xfId="0"/>
    <xf numFmtId="167" fontId="16" fillId="12" borderId="20" pivotButton="0" quotePrefix="0" xfId="0"/>
    <xf numFmtId="169" fontId="16" fillId="0" borderId="0" pivotButton="0" quotePrefix="0" xfId="0"/>
    <xf numFmtId="171" fontId="16" fillId="0" borderId="0" pivotButton="0" quotePrefix="0" xfId="0"/>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28" fillId="0" borderId="0" pivotButton="0" quotePrefix="0" xfId="0"/>
    <xf numFmtId="0" fontId="29" fillId="0" borderId="0" applyAlignment="1" pivotButton="0" quotePrefix="0" xfId="0">
      <alignment horizontal="right"/>
    </xf>
    <xf numFmtId="168" fontId="30" fillId="21" borderId="39" applyAlignment="1" pivotButton="0" quotePrefix="0" xfId="0">
      <alignment horizontal="center"/>
    </xf>
    <xf numFmtId="172" fontId="30" fillId="21" borderId="39" applyAlignment="1" pivotButton="0" quotePrefix="0" xfId="0">
      <alignment horizontal="center"/>
    </xf>
    <xf numFmtId="0" fontId="31" fillId="22" borderId="0" applyAlignment="1" pivotButton="0" quotePrefix="0" xfId="0">
      <alignment horizontal="left" vertical="center" indent="1"/>
    </xf>
    <xf numFmtId="0" fontId="31" fillId="23" borderId="0" applyAlignment="1" pivotButton="0" quotePrefix="0" xfId="0">
      <alignment horizontal="left" vertical="center" indent="1"/>
    </xf>
    <xf numFmtId="0" fontId="31" fillId="24" borderId="0" applyAlignment="1" pivotButton="0" quotePrefix="0" xfId="0">
      <alignment horizontal="left" vertical="center" indent="1"/>
    </xf>
    <xf numFmtId="0" fontId="29" fillId="0" borderId="0" applyAlignment="1" pivotButton="0" quotePrefix="0" xfId="0">
      <alignment horizontal="left" indent="1"/>
    </xf>
    <xf numFmtId="0" fontId="32" fillId="25" borderId="39" applyAlignment="1" pivotButton="0" quotePrefix="0" xfId="0">
      <alignment horizontal="center" vertical="center"/>
    </xf>
    <xf numFmtId="0" fontId="0" fillId="0" borderId="42" pivotButton="0" quotePrefix="0" xfId="0"/>
    <xf numFmtId="0" fontId="0" fillId="0" borderId="43" pivotButton="0" quotePrefix="0" xfId="0"/>
    <xf numFmtId="172" fontId="33" fillId="21" borderId="39" applyAlignment="1" pivotButton="0" quotePrefix="0" xfId="0">
      <alignment horizontal="center" vertical="center"/>
    </xf>
    <xf numFmtId="168" fontId="34" fillId="0" borderId="0" applyAlignment="1" pivotButton="0" quotePrefix="0" xfId="0">
      <alignment horizontal="center" vertical="center"/>
    </xf>
    <xf numFmtId="0" fontId="28" fillId="0" borderId="0" applyAlignment="1" pivotButton="0" quotePrefix="0" xfId="0">
      <alignment horizontal="left" indent="1"/>
    </xf>
    <xf numFmtId="172" fontId="35" fillId="0" borderId="0" applyAlignment="1" pivotButton="0" quotePrefix="0" xfId="0">
      <alignment horizontal="center"/>
    </xf>
    <xf numFmtId="0" fontId="29" fillId="0" borderId="0" applyAlignment="1" pivotButton="0" quotePrefix="0" xfId="0">
      <alignment horizontal="center"/>
    </xf>
    <xf numFmtId="0" fontId="36" fillId="26" borderId="0" applyAlignment="1" pivotButton="0" quotePrefix="0" xfId="0">
      <alignment horizontal="left" indent="1"/>
    </xf>
    <xf numFmtId="172" fontId="31" fillId="26" borderId="0" applyAlignment="1" pivotButton="0" quotePrefix="0" xfId="0">
      <alignment horizontal="center" vertical="center"/>
    </xf>
    <xf numFmtId="0" fontId="36" fillId="27" borderId="0" applyAlignment="1" pivotButton="0" quotePrefix="0" xfId="0">
      <alignment horizontal="center" vertical="center"/>
    </xf>
    <xf numFmtId="0" fontId="37" fillId="0" borderId="0" applyAlignment="1" pivotButton="0" quotePrefix="0" xfId="0">
      <alignment horizontal="center"/>
    </xf>
    <xf numFmtId="172" fontId="35" fillId="0" borderId="0" applyAlignment="1" pivotButton="0" quotePrefix="0" xfId="0">
      <alignment horizontal="right" indent="1"/>
    </xf>
    <xf numFmtId="168" fontId="35" fillId="0" borderId="0" applyAlignment="1" pivotButton="0" quotePrefix="0" xfId="0">
      <alignment horizontal="right" indent="1"/>
    </xf>
    <xf numFmtId="0" fontId="0" fillId="0" borderId="0" applyAlignment="1" pivotButton="0" quotePrefix="0" xfId="0">
      <alignment horizontal="left" indent="1"/>
    </xf>
    <xf numFmtId="0" fontId="37" fillId="28" borderId="0" applyAlignment="1" pivotButton="0" quotePrefix="0" xfId="0">
      <alignment horizontal="center"/>
    </xf>
    <xf numFmtId="172" fontId="35" fillId="28" borderId="0" applyAlignment="1" pivotButton="0" quotePrefix="0" xfId="0">
      <alignment horizontal="right" indent="1"/>
    </xf>
    <xf numFmtId="168" fontId="35" fillId="28" borderId="0" applyAlignment="1" pivotButton="0" quotePrefix="0" xfId="0">
      <alignment horizontal="right" indent="1"/>
    </xf>
    <xf numFmtId="0" fontId="0" fillId="28" borderId="0" applyAlignment="1" pivotButton="0" quotePrefix="0" xfId="0">
      <alignment horizontal="left" indent="1"/>
    </xf>
    <xf numFmtId="0" fontId="37" fillId="21" borderId="0" applyAlignment="1" pivotButton="0" quotePrefix="0" xfId="0">
      <alignment horizontal="center"/>
    </xf>
    <xf numFmtId="172" fontId="35" fillId="21" borderId="0" applyAlignment="1" pivotButton="0" quotePrefix="0" xfId="0">
      <alignment horizontal="right" indent="1"/>
    </xf>
    <xf numFmtId="168" fontId="35" fillId="21" borderId="0" applyAlignment="1" pivotButton="0" quotePrefix="0" xfId="0">
      <alignment horizontal="right" indent="1"/>
    </xf>
    <xf numFmtId="0" fontId="0" fillId="21" borderId="0" applyAlignment="1" pivotButton="0" quotePrefix="0" xfId="0">
      <alignment horizontal="left" indent="1"/>
    </xf>
    <xf numFmtId="0" fontId="31" fillId="29" borderId="0" applyAlignment="1" pivotButton="0" quotePrefix="0" xfId="0">
      <alignment horizontal="left" vertical="center" indent="1"/>
    </xf>
    <xf numFmtId="0" fontId="38" fillId="0" borderId="0" applyAlignment="1" pivotButton="0" quotePrefix="0" xfId="0">
      <alignment horizontal="center"/>
    </xf>
    <xf numFmtId="0" fontId="39" fillId="0" borderId="0" applyAlignment="1" pivotButton="0" quotePrefix="0" xfId="0">
      <alignment horizontal="center"/>
    </xf>
    <xf numFmtId="0" fontId="40" fillId="0" borderId="0" applyAlignment="1" pivotButton="0" quotePrefix="0" xfId="0">
      <alignment horizontal="center"/>
    </xf>
    <xf numFmtId="0" fontId="41" fillId="0" borderId="0" applyAlignment="1" pivotButton="0" quotePrefix="0" xfId="0">
      <alignment horizontal="left" indent="1"/>
    </xf>
    <xf numFmtId="173" fontId="35" fillId="0" borderId="0" applyAlignment="1" pivotButton="0" quotePrefix="0" xfId="0">
      <alignment horizontal="right" indent="1"/>
    </xf>
    <xf numFmtId="0" fontId="42" fillId="0" borderId="0" applyAlignment="1" pivotButton="0" quotePrefix="0" xfId="0">
      <alignment horizontal="left" indent="1"/>
    </xf>
    <xf numFmtId="172" fontId="43" fillId="0" borderId="44" applyAlignment="1" pivotButton="0" quotePrefix="0" xfId="0">
      <alignment horizontal="right" indent="1"/>
    </xf>
    <xf numFmtId="0" fontId="0" fillId="0" borderId="45" pivotButton="0" quotePrefix="0" xfId="0"/>
    <xf numFmtId="168" fontId="43" fillId="0" borderId="0" applyAlignment="1" pivotButton="0" quotePrefix="0" xfId="0">
      <alignment horizontal="center"/>
    </xf>
    <xf numFmtId="0" fontId="22" fillId="0" borderId="38" applyAlignment="1" pivotButton="0" quotePrefix="0" xfId="0">
      <alignment horizontal="center" vertical="center"/>
    </xf>
    <xf numFmtId="0" fontId="0" fillId="0" borderId="32" pivotButton="0" quotePrefix="0" xfId="0"/>
    <xf numFmtId="170" fontId="25" fillId="19" borderId="0" applyAlignment="1" pivotButton="0" quotePrefix="0" xfId="0">
      <alignment vertical="center"/>
    </xf>
    <xf numFmtId="170" fontId="25" fillId="0" borderId="0" applyAlignment="1" pivotButton="0" quotePrefix="0" xfId="0">
      <alignment vertical="center"/>
    </xf>
  </cellXfs>
  <cellStyles count="2">
    <cellStyle name="Normal" xfId="0" builtinId="0"/>
    <cellStyle name="Lien hypertexte" xfId="1" builtinId="8"/>
  </cellStyles>
  <dxfs count="21">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375623"/>
      </font>
      <fill>
        <patternFill patternType="solid">
          <fgColor indexed="64"/>
          <bgColor rgb="FFE2EFDA"/>
        </patternFill>
      </fill>
    </dxf>
    <dxf>
      <font>
        <color rgb="FF375623"/>
      </font>
    </dxf>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375623"/>
      </font>
      <fill>
        <patternFill patternType="solid">
          <fgColor indexed="64"/>
          <bgColor rgb="FFE2EFDA"/>
        </patternFill>
      </fill>
    </dxf>
    <dxf>
      <font>
        <color rgb="FF375623"/>
      </font>
    </dxf>
    <dxf>
      <font>
        <color rgb="FF806000"/>
      </font>
      <fill>
        <patternFill patternType="solid">
          <fgColor indexed="64"/>
          <bgColor rgb="FFFFF2CC"/>
        </patternFill>
      </fill>
    </dxf>
    <dxf>
      <font>
        <color rgb="FF375623"/>
      </font>
      <fill>
        <patternFill patternType="solid">
          <fgColor indexed="64"/>
          <bgColor rgb="FFE2EFDA"/>
        </patternFill>
      </fill>
    </dxf>
    <dxf>
      <font>
        <color rgb="FF1F4E79"/>
      </font>
      <fill>
        <patternFill patternType="solid">
          <fgColor indexed="64"/>
          <bgColor rgb="FFBDD7EE"/>
        </patternFill>
      </fill>
    </dxf>
    <dxf>
      <font>
        <color rgb="FF9C0006"/>
      </font>
      <fill>
        <patternFill patternType="solid">
          <fgColor indexed="64"/>
          <bgColor rgb="FFFFC7CE"/>
        </patternFill>
      </fill>
    </dxf>
    <dxf>
      <font>
        <color rgb="FF006100"/>
      </font>
      <fill>
        <patternFill patternType="solid">
          <fgColor indexed="64"/>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nutripure.fr/fr/musculation/147-1115-whey-chocolat-isolate.html" TargetMode="External" Id="rId1"/><Relationship Type="http://schemas.openxmlformats.org/officeDocument/2006/relationships/hyperlink" Target="https://www.nutrimuscle.com/products/whey-native-isolate" TargetMode="External" Id="rId2"/><Relationship Type="http://schemas.openxmlformats.org/officeDocument/2006/relationships/hyperlink" Target="https://www.ericfavre.com/fr_fr/proteines/iso-zero-100-whey-proteine-choco-intense-1-5kg-p-194-o-1200.htm" TargetMode="External" Id="rId3"/><Relationship Type="http://schemas.openxmlformats.org/officeDocument/2006/relationships/hyperlink" Target="https://www.eafit.com/eafit-pure-isolate-premium.html" TargetMode="External" Id="rId4"/></Relationships>
</file>

<file path=xl/worksheets/sheet1.xml><?xml version="1.0" encoding="utf-8"?>
<worksheet xmlns="http://schemas.openxmlformats.org/spreadsheetml/2006/main">
  <sheetPr>
    <outlinePr summaryBelow="1" summaryRight="1"/>
    <pageSetUpPr/>
  </sheetPr>
  <dimension ref="A1:N49"/>
  <sheetViews>
    <sheetView workbookViewId="0">
      <pane ySplit="6" topLeftCell="A7" activePane="bottomLeft" state="frozen"/>
      <selection pane="bottomLeft" activeCell="A1" sqref="A1"/>
    </sheetView>
  </sheetViews>
  <sheetFormatPr baseColWidth="8" defaultRowHeight="15"/>
  <cols>
    <col width="24" customWidth="1" style="24" min="1" max="1"/>
    <col width="10" customWidth="1" style="24" min="2" max="2"/>
    <col width="11" customWidth="1" style="24" min="3" max="3"/>
    <col width="16" customWidth="1" style="24" min="4" max="4"/>
    <col width="2" customWidth="1" style="24" min="5" max="5"/>
    <col width="5" customWidth="1" style="24" min="6" max="6"/>
    <col width="10" customWidth="1" style="24" min="7" max="7"/>
    <col width="11" customWidth="1" style="24" min="8" max="8"/>
    <col width="16" customWidth="1" style="24" min="9" max="9"/>
    <col width="2" customWidth="1" style="24" min="10" max="10"/>
    <col width="5" customWidth="1" style="24" min="11" max="11"/>
    <col width="10" customWidth="1" style="24" min="12" max="12"/>
    <col width="11" customWidth="1" style="24" min="13" max="13"/>
    <col width="16" customWidth="1" style="24" min="14" max="14"/>
  </cols>
  <sheetData>
    <row r="1" ht="30" customHeight="1" s="24">
      <c r="A1" s="176" t="inlineStr">
        <is>
          <t>PRICING DYNAMIQUE · GAMME WHEY IMPULSE</t>
        </is>
      </c>
    </row>
    <row r="2">
      <c r="A2" s="177" t="inlineStr">
        <is>
          <t>HT-based · 3 produits en cascade · modifier un PR ou un dropdown recalcule tout</t>
        </is>
      </c>
    </row>
    <row r="4">
      <c r="A4" s="178" t="inlineStr">
        <is>
          <t>HYPOTHÈSES PARTAGÉES  ·  cellules éditables</t>
        </is>
      </c>
    </row>
    <row r="5">
      <c r="A5" s="179" t="inlineStr">
        <is>
          <t>TVA</t>
        </is>
      </c>
      <c r="B5" s="180" t="n">
        <v>0.055</v>
      </c>
      <c r="C5" s="179" t="inlineStr">
        <is>
          <t>Remise</t>
        </is>
      </c>
      <c r="D5" s="180" t="n">
        <v>0.18</v>
      </c>
      <c r="E5" s="179" t="inlineStr">
        <is>
          <t>PR Conc</t>
        </is>
      </c>
      <c r="F5" s="181" t="n">
        <v>21</v>
      </c>
      <c r="G5" s="179" t="inlineStr">
        <is>
          <t>PR Iso</t>
        </is>
      </c>
      <c r="H5" s="181" t="n">
        <v>25</v>
      </c>
      <c r="I5" s="179" t="inlineStr">
        <is>
          <t>PR Rec</t>
        </is>
      </c>
      <c r="J5" s="181" t="n">
        <v>12.15</v>
      </c>
    </row>
    <row r="7" ht="22" customHeight="1" s="24">
      <c r="A7" s="182" t="inlineStr">
        <is>
          <t>▌ CONCENTRATE</t>
        </is>
      </c>
      <c r="F7" s="183" t="inlineStr">
        <is>
          <t>▌ ISOLATE   ⬅ cascade depuis Concentrate retenu</t>
        </is>
      </c>
      <c r="K7" s="184" t="inlineStr">
        <is>
          <t>▌ RECOVERY   ⬅ cascade depuis C + I</t>
        </is>
      </c>
    </row>
    <row r="9">
      <c r="A9" s="185" t="inlineStr">
        <is>
          <t>🎯 Option sélectionnée</t>
        </is>
      </c>
      <c r="F9" s="185" t="inlineStr">
        <is>
          <t>🎯 Option sélectionnée</t>
        </is>
      </c>
      <c r="K9" s="185" t="inlineStr">
        <is>
          <t>🎯 Option sélectionnée</t>
        </is>
      </c>
    </row>
    <row r="10" ht="22" customHeight="1" s="24">
      <c r="B10" s="186" t="n">
        <v>5</v>
      </c>
      <c r="C10" s="187" t="n"/>
      <c r="D10" s="188" t="n"/>
      <c r="G10" s="186" t="n">
        <v>5</v>
      </c>
      <c r="H10" s="187" t="n"/>
      <c r="I10" s="188" t="n"/>
      <c r="L10" s="186" t="n">
        <v>5</v>
      </c>
      <c r="M10" s="187" t="n"/>
      <c r="N10" s="188" t="n"/>
    </row>
    <row r="12">
      <c r="A12" s="185" t="inlineStr">
        <is>
          <t>→ Prix retenu</t>
        </is>
      </c>
      <c r="F12" s="185" t="inlineStr">
        <is>
          <t>→ Prix retenu</t>
        </is>
      </c>
      <c r="K12" s="185" t="inlineStr">
        <is>
          <t>→ Prix retenu</t>
        </is>
      </c>
    </row>
    <row r="13" ht="22" customHeight="1" s="24">
      <c r="B13" s="189">
        <f>INDEX($B$29:$B$38,$B10)</f>
        <v/>
      </c>
      <c r="C13" s="187" t="n"/>
      <c r="D13" s="188" t="n"/>
      <c r="G13" s="189">
        <f>INDEX($G$29:$G$38,$G10)</f>
        <v/>
      </c>
      <c r="H13" s="187" t="n"/>
      <c r="I13" s="188" t="n"/>
      <c r="L13" s="189">
        <f>INDEX($L$29:$L$38,$L10)</f>
        <v/>
      </c>
      <c r="M13" s="187" t="n"/>
      <c r="N13" s="188" t="n"/>
    </row>
    <row r="14" ht="18" customHeight="1" s="24">
      <c r="A14" s="185" t="inlineStr">
        <is>
          <t>Marge nette HT</t>
        </is>
      </c>
      <c r="B14" s="190">
        <f>IFERROR((((B13/(1+$B$5))*(1-$D$5))-$F$5)/((B13/(1+$B$5))*(1-$D$5)),0)</f>
        <v/>
      </c>
      <c r="F14" s="185" t="inlineStr">
        <is>
          <t>Marge nette HT</t>
        </is>
      </c>
      <c r="G14" s="190">
        <f>IFERROR((((G13/(1+$B$5))*(1-$D$5))-$H$5)/((G13/(1+$B$5))*(1-$D$5)),0)</f>
        <v/>
      </c>
      <c r="K14" s="185" t="inlineStr">
        <is>
          <t>Marge nette HT</t>
        </is>
      </c>
      <c r="L14" s="190">
        <f>IFERROR((((L13/(1+$B$5))*(1-$D$5))-$J$5)/((L13/(1+$B$5))*(1-$D$5)),0)</f>
        <v/>
      </c>
    </row>
    <row r="16">
      <c r="A16" s="191" t="inlineStr">
        <is>
          <t>BENCHMARK MARCHÉ</t>
        </is>
      </c>
      <c r="F16" s="191" t="inlineStr">
        <is>
          <t>BENCHMARK MARCHÉ</t>
        </is>
      </c>
      <c r="K16" s="191" t="inlineStr">
        <is>
          <t>BENCHMARK MARCHÉ</t>
        </is>
      </c>
    </row>
    <row r="17">
      <c r="A17" s="192">
        <f>AVERAGE('Synthèse prix'!H14,'Synthèse prix'!H15,'Synthèse prix'!H19,'Synthèse prix'!H20,'Synthèse prix'!H24,'Synthèse prix'!H25,'Synthèse prix'!H26,'Synthèse prix'!H31,'Synthèse prix'!H37,'Synthèse prix'!H50)</f>
        <v/>
      </c>
      <c r="B17" s="192">
        <f>MEDIAN('Synthèse prix'!H14,'Synthèse prix'!H15,'Synthèse prix'!H19,'Synthèse prix'!H20,'Synthèse prix'!H24,'Synthèse prix'!H25,'Synthèse prix'!H26,'Synthèse prix'!H31,'Synthèse prix'!H37,'Synthèse prix'!H50)</f>
        <v/>
      </c>
      <c r="C17" s="192">
        <f>MIN('Synthèse prix'!H14,'Synthèse prix'!H15,'Synthèse prix'!H19,'Synthèse prix'!H20,'Synthèse prix'!H24,'Synthèse prix'!H25,'Synthèse prix'!H26,'Synthèse prix'!H31,'Synthèse prix'!H37,'Synthèse prix'!H50)</f>
        <v/>
      </c>
      <c r="D17" s="192">
        <f>MAX('Synthèse prix'!H14,'Synthèse prix'!H15,'Synthèse prix'!H19,'Synthèse prix'!H20,'Synthèse prix'!H24,'Synthèse prix'!H25,'Synthèse prix'!H26,'Synthèse prix'!H31,'Synthèse prix'!H37,'Synthèse prix'!H50)</f>
        <v/>
      </c>
      <c r="F17" s="192">
        <f>AVERAGE('Synthèse prix'!H7,'Synthèse prix'!H10,'Synthèse prix'!H11,'Synthèse prix'!H18,'Synthèse prix'!H21,'Synthèse prix'!H22,'Synthèse prix'!H23,'Synthèse prix'!H29,'Synthèse prix'!H30,'Synthèse prix'!H35,'Synthèse prix'!H41,'Synthèse prix'!H47)</f>
        <v/>
      </c>
      <c r="G17" s="192">
        <f>MEDIAN('Synthèse prix'!H7,'Synthèse prix'!H10,'Synthèse prix'!H11,'Synthèse prix'!H18,'Synthèse prix'!H21,'Synthèse prix'!H22,'Synthèse prix'!H23,'Synthèse prix'!H29,'Synthèse prix'!H30,'Synthèse prix'!H35,'Synthèse prix'!H41,'Synthèse prix'!H47)</f>
        <v/>
      </c>
      <c r="H17" s="192">
        <f>MIN('Synthèse prix'!H7,'Synthèse prix'!H10,'Synthèse prix'!H11,'Synthèse prix'!H18,'Synthèse prix'!H21,'Synthèse prix'!H22,'Synthèse prix'!H23,'Synthèse prix'!H29,'Synthèse prix'!H30,'Synthèse prix'!H35,'Synthèse prix'!H41,'Synthèse prix'!H47)</f>
        <v/>
      </c>
      <c r="I17" s="192">
        <f>MAX('Synthèse prix'!H7,'Synthèse prix'!H10,'Synthèse prix'!H11,'Synthèse prix'!H18,'Synthèse prix'!H21,'Synthèse prix'!H22,'Synthèse prix'!H23,'Synthèse prix'!H29,'Synthèse prix'!H30,'Synthèse prix'!H35,'Synthèse prix'!H41,'Synthèse prix'!H47)</f>
        <v/>
      </c>
      <c r="K17" s="192">
        <f>AVERAGE('Synthèse prix'!H5,'Synthèse prix'!H6,'Synthèse prix'!H32)</f>
        <v/>
      </c>
      <c r="L17" s="192">
        <f>MEDIAN('Synthèse prix'!H5,'Synthèse prix'!H6,'Synthèse prix'!H32)</f>
        <v/>
      </c>
      <c r="M17" s="192">
        <f>MIN('Synthèse prix'!H5,'Synthèse prix'!H6,'Synthèse prix'!H32)</f>
        <v/>
      </c>
      <c r="N17" s="192">
        <f>MAX('Synthèse prix'!H5,'Synthèse prix'!H6,'Synthèse prix'!H32)</f>
        <v/>
      </c>
    </row>
    <row r="18">
      <c r="A18" s="193" t="inlineStr">
        <is>
          <t>Moy</t>
        </is>
      </c>
      <c r="B18" s="193" t="inlineStr">
        <is>
          <t>Méd</t>
        </is>
      </c>
      <c r="C18" s="193" t="inlineStr">
        <is>
          <t>Min</t>
        </is>
      </c>
      <c r="D18" s="193" t="inlineStr">
        <is>
          <t>Max</t>
        </is>
      </c>
      <c r="F18" s="193" t="inlineStr">
        <is>
          <t>Moy</t>
        </is>
      </c>
      <c r="G18" s="193" t="inlineStr">
        <is>
          <t>Méd</t>
        </is>
      </c>
      <c r="H18" s="193" t="inlineStr">
        <is>
          <t>Min</t>
        </is>
      </c>
      <c r="I18" s="193" t="inlineStr">
        <is>
          <t>Max</t>
        </is>
      </c>
      <c r="K18" s="193" t="inlineStr">
        <is>
          <t>Moy</t>
        </is>
      </c>
      <c r="L18" s="193" t="inlineStr">
        <is>
          <t>Méd</t>
        </is>
      </c>
      <c r="M18" s="193" t="inlineStr">
        <is>
          <t>Min</t>
        </is>
      </c>
      <c r="N18" s="193" t="inlineStr">
        <is>
          <t>Max</t>
        </is>
      </c>
    </row>
    <row r="20">
      <c r="F20" s="191" t="inlineStr">
        <is>
          <t>CALCUL AUTO — Algo Option C (HT-based)</t>
        </is>
      </c>
      <c r="K20" s="191" t="inlineStr">
        <is>
          <t>CALCUL AUTO — Algo Option C (HT-based)</t>
        </is>
      </c>
    </row>
    <row r="21">
      <c r="F21" s="185" t="inlineStr">
        <is>
          <t>Plancher marge 38%</t>
        </is>
      </c>
      <c r="I21" s="192">
        <f>CEILING($H$5/(1-0.38)/(1-$D$5)*(1+$B$5)+0.1,1)-0.1</f>
        <v/>
      </c>
      <c r="K21" s="185" t="inlineStr">
        <is>
          <t>Plancher marge 38%</t>
        </is>
      </c>
      <c r="N21" s="192">
        <f>CEILING($J$5/(1-0.38)/(1-$D$5)*(1+$B$5)+0.1,1)-0.1</f>
        <v/>
      </c>
    </row>
    <row r="22">
      <c r="F22" s="185" t="inlineStr">
        <is>
          <t>Cible marge 40%</t>
        </is>
      </c>
      <c r="I22" s="192">
        <f>CEILING($H$5/(1-0.4)/(1-$D$5)*(1+$B$5)+0.1,1)-0.1</f>
        <v/>
      </c>
      <c r="K22" s="185" t="inlineStr">
        <is>
          <t>Plancher C+5%</t>
        </is>
      </c>
      <c r="N22" s="192">
        <f>CEILING(B13*1.05+0.1,1)-0.1</f>
        <v/>
      </c>
    </row>
    <row r="23">
      <c r="F23" s="185" t="inlineStr">
        <is>
          <t>Anti-cannib (C×1,10)</t>
        </is>
      </c>
      <c r="I23" s="192">
        <f>CEILING(B13*1.10+0.1,1)-0.1</f>
        <v/>
      </c>
      <c r="K23" s="185" t="inlineStr">
        <is>
          <t>Plafond I−5%</t>
        </is>
      </c>
      <c r="N23" s="192">
        <f>CEILING(G13*0.95+0.1,1)-0.1</f>
        <v/>
      </c>
    </row>
    <row r="24">
      <c r="F24" s="185" t="inlineStr">
        <is>
          <t>Marché médiane</t>
        </is>
      </c>
      <c r="I24" s="192">
        <f>MEDIAN('Synthèse prix'!H7,'Synthèse prix'!H10,'Synthèse prix'!H11,'Synthèse prix'!H18,'Synthèse prix'!H21,'Synthèse prix'!H22,'Synthèse prix'!H23,'Synthèse prix'!H29,'Synthèse prix'!H30,'Synthèse prix'!H35,'Synthèse prix'!H41,'Synthèse prix'!H47)</f>
        <v/>
      </c>
      <c r="K24" s="185" t="inlineStr">
        <is>
          <t>Marché réf (Impulse)</t>
        </is>
      </c>
      <c r="N24" s="192">
        <f>'Synthèse prix'!H5</f>
        <v/>
      </c>
    </row>
    <row r="25">
      <c r="F25" s="194" t="inlineStr">
        <is>
          <t>→ PP OPTIMAL</t>
        </is>
      </c>
      <c r="I25" s="195">
        <f>MAX(I21,I23,MIN(I22,I24))</f>
        <v/>
      </c>
      <c r="K25" s="194" t="inlineStr">
        <is>
          <t>→ PP OPTIMAL</t>
        </is>
      </c>
      <c r="N25" s="195">
        <f>MAX(N21,N22,MIN(N23,N24))</f>
        <v/>
      </c>
    </row>
    <row r="27" ht="18" customHeight="1" s="24">
      <c r="A27" s="196" t="inlineStr">
        <is>
          <t>#</t>
        </is>
      </c>
      <c r="B27" s="196" t="inlineStr">
        <is>
          <t>Prix</t>
        </is>
      </c>
      <c r="C27" s="196" t="inlineStr">
        <is>
          <t>Marge %</t>
        </is>
      </c>
      <c r="D27" s="196" t="inlineStr">
        <is>
          <t>Flag</t>
        </is>
      </c>
      <c r="F27" s="196" t="inlineStr">
        <is>
          <t>#</t>
        </is>
      </c>
      <c r="G27" s="196" t="inlineStr">
        <is>
          <t>Prix</t>
        </is>
      </c>
      <c r="H27" s="196" t="inlineStr">
        <is>
          <t>Marge %</t>
        </is>
      </c>
      <c r="I27" s="196" t="inlineStr">
        <is>
          <t>Flag</t>
        </is>
      </c>
      <c r="K27" s="196" t="inlineStr">
        <is>
          <t>#</t>
        </is>
      </c>
      <c r="L27" s="196" t="inlineStr">
        <is>
          <t>Prix</t>
        </is>
      </c>
      <c r="M27" s="196" t="inlineStr">
        <is>
          <t>Marge %</t>
        </is>
      </c>
      <c r="N27" s="196" t="inlineStr">
        <is>
          <t>Flag</t>
        </is>
      </c>
    </row>
    <row r="29" ht="16" customHeight="1" s="24">
      <c r="A29" s="197" t="n">
        <v>1</v>
      </c>
      <c r="B29" s="198" t="n">
        <v>29.9</v>
      </c>
      <c r="C29" s="199">
        <f>IFERROR((((B29/(1+$B$5))*(1-$D$5))-$F$5)/((B29/(1+$B$5))*(1-$D$5)),0)</f>
        <v/>
      </c>
      <c r="D29" s="200">
        <f>IF(C29&lt;0.30,"⚠️ Marge basse",IF(C29&lt;0.35,"🟡 Limite",IF(C29&lt;=0.42,"🎯 Optimal","🔵 Premium")))</f>
        <v/>
      </c>
      <c r="F29" s="197" t="n">
        <v>1</v>
      </c>
      <c r="G29" s="198">
        <f>CEILING(I25-4+0.1,1)-0.1</f>
        <v/>
      </c>
      <c r="H29" s="199">
        <f>IFERROR((((G29/(1+$B$5))*(1-$D$5))-$H$5)/((G29/(1+$B$5))*(1-$D$5)),0)</f>
        <v/>
      </c>
      <c r="I29" s="200">
        <f>IF(H29&lt;0.30,"⚠️ Marge basse",IF(IFERROR((G29-B13)/B13,0)&lt;0.1,"🚫 Cannibalisme",IF(H29&lt;0.35,"🟡 Limite",IF(H29&lt;=0.42,"🎯 Optimal","🔵 Premium"))))</f>
        <v/>
      </c>
      <c r="K29" s="197" t="n">
        <v>1</v>
      </c>
      <c r="L29" s="198">
        <f>CEILING(N25-4+0.1,1)-0.1</f>
        <v/>
      </c>
      <c r="M29" s="199">
        <f>IFERROR((((L29/(1+$B$5))*(1-$D$5))-$J$5)/((L29/(1+$B$5))*(1-$D$5)),0)</f>
        <v/>
      </c>
      <c r="N29" s="200">
        <f>IF(M29&lt;0.30,"⚠️ Marge basse",IF(IFERROR((L29-B13)/B13,0)&lt;0.05,"🚫 Cannibalisme",IF(M29&lt;0.35,"🟡 Limite",IF(M29&lt;=0.42,"🎯 Optimal","🔵 Premium"))))</f>
        <v/>
      </c>
    </row>
    <row r="30" ht="16" customHeight="1" s="24">
      <c r="A30" s="201" t="n">
        <v>2</v>
      </c>
      <c r="B30" s="202" t="n">
        <v>31.9</v>
      </c>
      <c r="C30" s="203">
        <f>IFERROR((((B30/(1+$B$5))*(1-$D$5))-$F$5)/((B30/(1+$B$5))*(1-$D$5)),0)</f>
        <v/>
      </c>
      <c r="D30" s="204">
        <f>IF(C30&lt;0.30,"⚠️ Marge basse",IF(C30&lt;0.35,"🟡 Limite",IF(C30&lt;=0.42,"🎯 Optimal","🔵 Premium")))</f>
        <v/>
      </c>
      <c r="F30" s="201" t="n">
        <v>2</v>
      </c>
      <c r="G30" s="202">
        <f>CEILING(I25-3+0.1,1)-0.1</f>
        <v/>
      </c>
      <c r="H30" s="203">
        <f>IFERROR((((G30/(1+$B$5))*(1-$D$5))-$H$5)/((G30/(1+$B$5))*(1-$D$5)),0)</f>
        <v/>
      </c>
      <c r="I30" s="204">
        <f>IF(H30&lt;0.30,"⚠️ Marge basse",IF(IFERROR((G30-B13)/B13,0)&lt;0.1,"🚫 Cannibalisme",IF(H30&lt;0.35,"🟡 Limite",IF(H30&lt;=0.42,"🎯 Optimal","🔵 Premium"))))</f>
        <v/>
      </c>
      <c r="K30" s="201" t="n">
        <v>2</v>
      </c>
      <c r="L30" s="202">
        <f>CEILING(N25-3+0.1,1)-0.1</f>
        <v/>
      </c>
      <c r="M30" s="203">
        <f>IFERROR((((L30/(1+$B$5))*(1-$D$5))-$J$5)/((L30/(1+$B$5))*(1-$D$5)),0)</f>
        <v/>
      </c>
      <c r="N30" s="204">
        <f>IF(M30&lt;0.30,"⚠️ Marge basse",IF(IFERROR((L30-B13)/B13,0)&lt;0.05,"🚫 Cannibalisme",IF(M30&lt;0.35,"🟡 Limite",IF(M30&lt;=0.42,"🎯 Optimal","🔵 Premium"))))</f>
        <v/>
      </c>
    </row>
    <row r="31" ht="16" customHeight="1" s="24">
      <c r="A31" s="197" t="n">
        <v>3</v>
      </c>
      <c r="B31" s="198" t="n">
        <v>33.9</v>
      </c>
      <c r="C31" s="199">
        <f>IFERROR((((B31/(1+$B$5))*(1-$D$5))-$F$5)/((B31/(1+$B$5))*(1-$D$5)),0)</f>
        <v/>
      </c>
      <c r="D31" s="200">
        <f>IF(C31&lt;0.30,"⚠️ Marge basse",IF(C31&lt;0.35,"🟡 Limite",IF(C31&lt;=0.42,"🎯 Optimal","🔵 Premium")))</f>
        <v/>
      </c>
      <c r="F31" s="197" t="n">
        <v>3</v>
      </c>
      <c r="G31" s="198">
        <f>CEILING(I25-2+0.1,1)-0.1</f>
        <v/>
      </c>
      <c r="H31" s="199">
        <f>IFERROR((((G31/(1+$B$5))*(1-$D$5))-$H$5)/((G31/(1+$B$5))*(1-$D$5)),0)</f>
        <v/>
      </c>
      <c r="I31" s="200">
        <f>IF(H31&lt;0.30,"⚠️ Marge basse",IF(IFERROR((G31-B13)/B13,0)&lt;0.1,"🚫 Cannibalisme",IF(H31&lt;0.35,"🟡 Limite",IF(H31&lt;=0.42,"🎯 Optimal","🔵 Premium"))))</f>
        <v/>
      </c>
      <c r="K31" s="197" t="n">
        <v>3</v>
      </c>
      <c r="L31" s="198">
        <f>CEILING(N25-2+0.1,1)-0.1</f>
        <v/>
      </c>
      <c r="M31" s="199">
        <f>IFERROR((((L31/(1+$B$5))*(1-$D$5))-$J$5)/((L31/(1+$B$5))*(1-$D$5)),0)</f>
        <v/>
      </c>
      <c r="N31" s="200">
        <f>IF(M31&lt;0.30,"⚠️ Marge basse",IF(IFERROR((L31-B13)/B13,0)&lt;0.05,"🚫 Cannibalisme",IF(M31&lt;0.35,"🟡 Limite",IF(M31&lt;=0.42,"🎯 Optimal","🔵 Premium"))))</f>
        <v/>
      </c>
    </row>
    <row r="32" ht="16" customHeight="1" s="24">
      <c r="A32" s="201" t="n">
        <v>4</v>
      </c>
      <c r="B32" s="202" t="n">
        <v>34.9</v>
      </c>
      <c r="C32" s="203">
        <f>IFERROR((((B32/(1+$B$5))*(1-$D$5))-$F$5)/((B32/(1+$B$5))*(1-$D$5)),0)</f>
        <v/>
      </c>
      <c r="D32" s="204">
        <f>IF(C32&lt;0.30,"⚠️ Marge basse",IF(C32&lt;0.35,"🟡 Limite",IF(C32&lt;=0.42,"🎯 Optimal","🔵 Premium")))</f>
        <v/>
      </c>
      <c r="F32" s="201" t="n">
        <v>4</v>
      </c>
      <c r="G32" s="202">
        <f>CEILING(I25-1+0.1,1)-0.1</f>
        <v/>
      </c>
      <c r="H32" s="203">
        <f>IFERROR((((G32/(1+$B$5))*(1-$D$5))-$H$5)/((G32/(1+$B$5))*(1-$D$5)),0)</f>
        <v/>
      </c>
      <c r="I32" s="204">
        <f>IF(H32&lt;0.30,"⚠️ Marge basse",IF(IFERROR((G32-B13)/B13,0)&lt;0.1,"🚫 Cannibalisme",IF(H32&lt;0.35,"🟡 Limite",IF(H32&lt;=0.42,"🎯 Optimal","🔵 Premium"))))</f>
        <v/>
      </c>
      <c r="K32" s="201" t="n">
        <v>4</v>
      </c>
      <c r="L32" s="202">
        <f>CEILING(N25-1+0.1,1)-0.1</f>
        <v/>
      </c>
      <c r="M32" s="203">
        <f>IFERROR((((L32/(1+$B$5))*(1-$D$5))-$J$5)/((L32/(1+$B$5))*(1-$D$5)),0)</f>
        <v/>
      </c>
      <c r="N32" s="204">
        <f>IF(M32&lt;0.30,"⚠️ Marge basse",IF(IFERROR((L32-B13)/B13,0)&lt;0.05,"🚫 Cannibalisme",IF(M32&lt;0.35,"🟡 Limite",IF(M32&lt;=0.42,"🎯 Optimal","🔵 Premium"))))</f>
        <v/>
      </c>
    </row>
    <row r="33" ht="16" customHeight="1" s="24">
      <c r="A33" s="205" t="n">
        <v>5</v>
      </c>
      <c r="B33" s="206" t="n">
        <v>36.9</v>
      </c>
      <c r="C33" s="207">
        <f>IFERROR((((B33/(1+$B$5))*(1-$D$5))-$F$5)/((B33/(1+$B$5))*(1-$D$5)),0)</f>
        <v/>
      </c>
      <c r="D33" s="208">
        <f>IF(C33&lt;0.30,"⚠️ Marge basse",IF(C33&lt;0.35,"🟡 Limite",IF(C33&lt;=0.42,"🎯 Optimal","🔵 Premium")))</f>
        <v/>
      </c>
      <c r="F33" s="205" t="n">
        <v>5</v>
      </c>
      <c r="G33" s="206">
        <f>CEILING(I25+0.1,1)-0.1</f>
        <v/>
      </c>
      <c r="H33" s="207">
        <f>IFERROR((((G33/(1+$B$5))*(1-$D$5))-$H$5)/((G33/(1+$B$5))*(1-$D$5)),0)</f>
        <v/>
      </c>
      <c r="I33" s="208">
        <f>IF(H33&lt;0.30,"⚠️ Marge basse",IF(IFERROR((G33-B13)/B13,0)&lt;0.1,"🚫 Cannibalisme",IF(H33&lt;0.35,"🟡 Limite",IF(H33&lt;=0.42,"🎯 Optimal","🔵 Premium"))))</f>
        <v/>
      </c>
      <c r="K33" s="205" t="n">
        <v>5</v>
      </c>
      <c r="L33" s="206">
        <f>CEILING(N25+0.1,1)-0.1</f>
        <v/>
      </c>
      <c r="M33" s="207">
        <f>IFERROR((((L33/(1+$B$5))*(1-$D$5))-$J$5)/((L33/(1+$B$5))*(1-$D$5)),0)</f>
        <v/>
      </c>
      <c r="N33" s="208">
        <f>IF(M33&lt;0.30,"⚠️ Marge basse",IF(IFERROR((L33-B13)/B13,0)&lt;0.05,"🚫 Cannibalisme",IF(M33&lt;0.35,"🟡 Limite",IF(M33&lt;=0.42,"🎯 Optimal","🔵 Premium"))))</f>
        <v/>
      </c>
    </row>
    <row r="34" ht="16" customHeight="1" s="24">
      <c r="A34" s="201" t="n">
        <v>6</v>
      </c>
      <c r="B34" s="202" t="n">
        <v>37.9</v>
      </c>
      <c r="C34" s="203">
        <f>IFERROR((((B34/(1+$B$5))*(1-$D$5))-$F$5)/((B34/(1+$B$5))*(1-$D$5)),0)</f>
        <v/>
      </c>
      <c r="D34" s="204">
        <f>IF(C34&lt;0.30,"⚠️ Marge basse",IF(C34&lt;0.35,"🟡 Limite",IF(C34&lt;=0.42,"🎯 Optimal","🔵 Premium")))</f>
        <v/>
      </c>
      <c r="F34" s="201" t="n">
        <v>6</v>
      </c>
      <c r="G34" s="202">
        <f>CEILING(I25+1+0.1,1)-0.1</f>
        <v/>
      </c>
      <c r="H34" s="203">
        <f>IFERROR((((G34/(1+$B$5))*(1-$D$5))-$H$5)/((G34/(1+$B$5))*(1-$D$5)),0)</f>
        <v/>
      </c>
      <c r="I34" s="204">
        <f>IF(H34&lt;0.30,"⚠️ Marge basse",IF(IFERROR((G34-B13)/B13,0)&lt;0.1,"🚫 Cannibalisme",IF(H34&lt;0.35,"🟡 Limite",IF(H34&lt;=0.42,"🎯 Optimal","🔵 Premium"))))</f>
        <v/>
      </c>
      <c r="K34" s="201" t="n">
        <v>6</v>
      </c>
      <c r="L34" s="202">
        <f>CEILING(N25+1+0.1,1)-0.1</f>
        <v/>
      </c>
      <c r="M34" s="203">
        <f>IFERROR((((L34/(1+$B$5))*(1-$D$5))-$J$5)/((L34/(1+$B$5))*(1-$D$5)),0)</f>
        <v/>
      </c>
      <c r="N34" s="204">
        <f>IF(M34&lt;0.30,"⚠️ Marge basse",IF(IFERROR((L34-B13)/B13,0)&lt;0.05,"🚫 Cannibalisme",IF(M34&lt;0.35,"🟡 Limite",IF(M34&lt;=0.42,"🎯 Optimal","🔵 Premium"))))</f>
        <v/>
      </c>
    </row>
    <row r="35" ht="16" customHeight="1" s="24">
      <c r="A35" s="197" t="n">
        <v>7</v>
      </c>
      <c r="B35" s="198" t="n">
        <v>39.9</v>
      </c>
      <c r="C35" s="199">
        <f>IFERROR((((B35/(1+$B$5))*(1-$D$5))-$F$5)/((B35/(1+$B$5))*(1-$D$5)),0)</f>
        <v/>
      </c>
      <c r="D35" s="200">
        <f>IF(C35&lt;0.30,"⚠️ Marge basse",IF(C35&lt;0.35,"🟡 Limite",IF(C35&lt;=0.42,"🎯 Optimal","🔵 Premium")))</f>
        <v/>
      </c>
      <c r="F35" s="197" t="n">
        <v>7</v>
      </c>
      <c r="G35" s="198">
        <f>CEILING(I25+2+0.1,1)-0.1</f>
        <v/>
      </c>
      <c r="H35" s="199">
        <f>IFERROR((((G35/(1+$B$5))*(1-$D$5))-$H$5)/((G35/(1+$B$5))*(1-$D$5)),0)</f>
        <v/>
      </c>
      <c r="I35" s="200">
        <f>IF(H35&lt;0.30,"⚠️ Marge basse",IF(IFERROR((G35-B13)/B13,0)&lt;0.1,"🚫 Cannibalisme",IF(H35&lt;0.35,"🟡 Limite",IF(H35&lt;=0.42,"🎯 Optimal","🔵 Premium"))))</f>
        <v/>
      </c>
      <c r="K35" s="197" t="n">
        <v>7</v>
      </c>
      <c r="L35" s="198">
        <f>CEILING(N25+2+0.1,1)-0.1</f>
        <v/>
      </c>
      <c r="M35" s="199">
        <f>IFERROR((((L35/(1+$B$5))*(1-$D$5))-$J$5)/((L35/(1+$B$5))*(1-$D$5)),0)</f>
        <v/>
      </c>
      <c r="N35" s="200">
        <f>IF(M35&lt;0.30,"⚠️ Marge basse",IF(IFERROR((L35-B13)/B13,0)&lt;0.05,"🚫 Cannibalisme",IF(M35&lt;0.35,"🟡 Limite",IF(M35&lt;=0.42,"🎯 Optimal","🔵 Premium"))))</f>
        <v/>
      </c>
    </row>
    <row r="36" ht="16" customHeight="1" s="24">
      <c r="A36" s="201" t="n">
        <v>8</v>
      </c>
      <c r="B36" s="202" t="n">
        <v>41.9</v>
      </c>
      <c r="C36" s="203">
        <f>IFERROR((((B36/(1+$B$5))*(1-$D$5))-$F$5)/((B36/(1+$B$5))*(1-$D$5)),0)</f>
        <v/>
      </c>
      <c r="D36" s="204">
        <f>IF(C36&lt;0.30,"⚠️ Marge basse",IF(C36&lt;0.35,"🟡 Limite",IF(C36&lt;=0.42,"🎯 Optimal","🔵 Premium")))</f>
        <v/>
      </c>
      <c r="F36" s="201" t="n">
        <v>8</v>
      </c>
      <c r="G36" s="202">
        <f>CEILING(I25+3+0.1,1)-0.1</f>
        <v/>
      </c>
      <c r="H36" s="203">
        <f>IFERROR((((G36/(1+$B$5))*(1-$D$5))-$H$5)/((G36/(1+$B$5))*(1-$D$5)),0)</f>
        <v/>
      </c>
      <c r="I36" s="204">
        <f>IF(H36&lt;0.30,"⚠️ Marge basse",IF(IFERROR((G36-B13)/B13,0)&lt;0.1,"🚫 Cannibalisme",IF(H36&lt;0.35,"🟡 Limite",IF(H36&lt;=0.42,"🎯 Optimal","🔵 Premium"))))</f>
        <v/>
      </c>
      <c r="K36" s="201" t="n">
        <v>8</v>
      </c>
      <c r="L36" s="202">
        <f>CEILING(N25+3+0.1,1)-0.1</f>
        <v/>
      </c>
      <c r="M36" s="203">
        <f>IFERROR((((L36/(1+$B$5))*(1-$D$5))-$J$5)/((L36/(1+$B$5))*(1-$D$5)),0)</f>
        <v/>
      </c>
      <c r="N36" s="204">
        <f>IF(M36&lt;0.30,"⚠️ Marge basse",IF(IFERROR((L36-B13)/B13,0)&lt;0.05,"🚫 Cannibalisme",IF(M36&lt;0.35,"🟡 Limite",IF(M36&lt;=0.42,"🎯 Optimal","🔵 Premium"))))</f>
        <v/>
      </c>
    </row>
    <row r="37" ht="16" customHeight="1" s="24">
      <c r="A37" s="197" t="n">
        <v>9</v>
      </c>
      <c r="B37" s="198" t="n">
        <v>42.9</v>
      </c>
      <c r="C37" s="199">
        <f>IFERROR((((B37/(1+$B$5))*(1-$D$5))-$F$5)/((B37/(1+$B$5))*(1-$D$5)),0)</f>
        <v/>
      </c>
      <c r="D37" s="200">
        <f>IF(C37&lt;0.30,"⚠️ Marge basse",IF(C37&lt;0.35,"🟡 Limite",IF(C37&lt;=0.42,"🎯 Optimal","🔵 Premium")))</f>
        <v/>
      </c>
      <c r="F37" s="197" t="n">
        <v>9</v>
      </c>
      <c r="G37" s="198">
        <f>CEILING(I25+5+0.1,1)-0.1</f>
        <v/>
      </c>
      <c r="H37" s="199">
        <f>IFERROR((((G37/(1+$B$5))*(1-$D$5))-$H$5)/((G37/(1+$B$5))*(1-$D$5)),0)</f>
        <v/>
      </c>
      <c r="I37" s="200">
        <f>IF(H37&lt;0.30,"⚠️ Marge basse",IF(IFERROR((G37-B13)/B13,0)&lt;0.1,"🚫 Cannibalisme",IF(H37&lt;0.35,"🟡 Limite",IF(H37&lt;=0.42,"🎯 Optimal","🔵 Premium"))))</f>
        <v/>
      </c>
      <c r="K37" s="197" t="n">
        <v>9</v>
      </c>
      <c r="L37" s="198">
        <f>CEILING(N25+5+0.1,1)-0.1</f>
        <v/>
      </c>
      <c r="M37" s="199">
        <f>IFERROR((((L37/(1+$B$5))*(1-$D$5))-$J$5)/((L37/(1+$B$5))*(1-$D$5)),0)</f>
        <v/>
      </c>
      <c r="N37" s="200">
        <f>IF(M37&lt;0.30,"⚠️ Marge basse",IF(IFERROR((L37-B13)/B13,0)&lt;0.05,"🚫 Cannibalisme",IF(M37&lt;0.35,"🟡 Limite",IF(M37&lt;=0.42,"🎯 Optimal","🔵 Premium"))))</f>
        <v/>
      </c>
    </row>
    <row r="38" ht="16" customHeight="1" s="24">
      <c r="A38" s="201" t="n">
        <v>10</v>
      </c>
      <c r="B38" s="202" t="n">
        <v>44.9</v>
      </c>
      <c r="C38" s="203">
        <f>IFERROR((((B38/(1+$B$5))*(1-$D$5))-$F$5)/((B38/(1+$B$5))*(1-$D$5)),0)</f>
        <v/>
      </c>
      <c r="D38" s="204">
        <f>IF(C38&lt;0.30,"⚠️ Marge basse",IF(C38&lt;0.35,"🟡 Limite",IF(C38&lt;=0.42,"🎯 Optimal","🔵 Premium")))</f>
        <v/>
      </c>
      <c r="F38" s="201" t="n">
        <v>10</v>
      </c>
      <c r="G38" s="202">
        <f>CEILING(I25+7+0.1,1)-0.1</f>
        <v/>
      </c>
      <c r="H38" s="203">
        <f>IFERROR((((G38/(1+$B$5))*(1-$D$5))-$H$5)/((G38/(1+$B$5))*(1-$D$5)),0)</f>
        <v/>
      </c>
      <c r="I38" s="204">
        <f>IF(H38&lt;0.30,"⚠️ Marge basse",IF(IFERROR((G38-B13)/B13,0)&lt;0.1,"🚫 Cannibalisme",IF(H38&lt;0.35,"🟡 Limite",IF(H38&lt;=0.42,"🎯 Optimal","🔵 Premium"))))</f>
        <v/>
      </c>
      <c r="K38" s="201" t="n">
        <v>10</v>
      </c>
      <c r="L38" s="202">
        <f>CEILING(N25+7+0.1,1)-0.1</f>
        <v/>
      </c>
      <c r="M38" s="203">
        <f>IFERROR((((L38/(1+$B$5))*(1-$D$5))-$J$5)/((L38/(1+$B$5))*(1-$D$5)),0)</f>
        <v/>
      </c>
      <c r="N38" s="204">
        <f>IF(M38&lt;0.30,"⚠️ Marge basse",IF(IFERROR((L38-B13)/B13,0)&lt;0.05,"🚫 Cannibalisme",IF(M38&lt;0.35,"🟡 Limite",IF(M38&lt;=0.42,"🎯 Optimal","🔵 Premium"))))</f>
        <v/>
      </c>
    </row>
    <row r="40" ht="22" customHeight="1" s="24">
      <c r="A40" s="209" t="inlineStr">
        <is>
          <t>▌ DÉTAIL P&amp;L — DÉCOMPOSITION DES PRIX RETENUS</t>
        </is>
      </c>
    </row>
    <row r="41">
      <c r="B41" s="210" t="inlineStr">
        <is>
          <t>CONCENTRATE</t>
        </is>
      </c>
      <c r="G41" s="211" t="inlineStr">
        <is>
          <t>ISOLATE</t>
        </is>
      </c>
      <c r="L41" s="212" t="inlineStr">
        <is>
          <t>RECOVERY</t>
        </is>
      </c>
    </row>
    <row r="42">
      <c r="A42" s="213" t="inlineStr">
        <is>
          <t>Prix Public TTC</t>
        </is>
      </c>
      <c r="B42" s="198">
        <f>B13</f>
        <v/>
      </c>
      <c r="G42" s="198">
        <f>G13</f>
        <v/>
      </c>
      <c r="L42" s="198">
        <f>L13</f>
        <v/>
      </c>
    </row>
    <row r="43">
      <c r="A43" s="213" t="inlineStr">
        <is>
          <t>− TVA (5,5 %)</t>
        </is>
      </c>
      <c r="B43" s="214">
        <f>-B13*$B$5/(1+$B$5)</f>
        <v/>
      </c>
      <c r="G43" s="214">
        <f>-G13*$B$5/(1+$B$5)</f>
        <v/>
      </c>
      <c r="L43" s="214">
        <f>-L13*$B$5/(1+$B$5)</f>
        <v/>
      </c>
    </row>
    <row r="44" ht="20" customHeight="1" s="24">
      <c r="A44" s="215">
        <f> Prix Public HT</f>
        <v/>
      </c>
      <c r="B44" s="216">
        <f>B13/(1+$B$5)</f>
        <v/>
      </c>
      <c r="C44" s="217" t="n"/>
      <c r="D44" s="217" t="n"/>
      <c r="G44" s="216">
        <f>G13/(1+$B$5)</f>
        <v/>
      </c>
      <c r="H44" s="217" t="n"/>
      <c r="I44" s="217" t="n"/>
      <c r="L44" s="216">
        <f>L13/(1+$B$5)</f>
        <v/>
      </c>
      <c r="M44" s="217" t="n"/>
      <c r="N44" s="217" t="n"/>
    </row>
    <row r="45">
      <c r="A45" s="213" t="inlineStr">
        <is>
          <t>− Remise client</t>
        </is>
      </c>
      <c r="B45" s="214">
        <f>-(B13/(1+$B$5))*$D$5</f>
        <v/>
      </c>
      <c r="G45" s="214">
        <f>-(G13/(1+$B$5))*$D$5</f>
        <v/>
      </c>
      <c r="L45" s="214">
        <f>-(L13/(1+$B$5))*$D$5</f>
        <v/>
      </c>
    </row>
    <row r="46" ht="20" customHeight="1" s="24">
      <c r="A46" s="215">
        <f> PVM net HT</f>
        <v/>
      </c>
      <c r="B46" s="216">
        <f>(B13/(1+$B$5))*(1-$D$5)</f>
        <v/>
      </c>
      <c r="C46" s="217" t="n"/>
      <c r="D46" s="217" t="n"/>
      <c r="G46" s="216">
        <f>(G13/(1+$B$5))*(1-$D$5)</f>
        <v/>
      </c>
      <c r="H46" s="217" t="n"/>
      <c r="I46" s="217" t="n"/>
      <c r="L46" s="216">
        <f>(L13/(1+$B$5))*(1-$D$5)</f>
        <v/>
      </c>
      <c r="M46" s="217" t="n"/>
      <c r="N46" s="217" t="n"/>
    </row>
    <row r="47">
      <c r="A47" s="213" t="inlineStr">
        <is>
          <t>− Prix de revient</t>
        </is>
      </c>
      <c r="B47" s="214">
        <f>-$F$5</f>
        <v/>
      </c>
      <c r="G47" s="214">
        <f>-$H$5</f>
        <v/>
      </c>
      <c r="L47" s="214">
        <f>-$J$5</f>
        <v/>
      </c>
    </row>
    <row r="48" ht="20" customHeight="1" s="24">
      <c r="A48" s="215">
        <f> Marge nette €</f>
        <v/>
      </c>
      <c r="B48" s="216">
        <f>(B13/(1+$B$5))*(1-$D$5)-$F$5</f>
        <v/>
      </c>
      <c r="C48" s="217" t="n"/>
      <c r="D48" s="217" t="n"/>
      <c r="G48" s="216">
        <f>(G13/(1+$B$5))*(1-$D$5)-$H$5</f>
        <v/>
      </c>
      <c r="H48" s="217" t="n"/>
      <c r="I48" s="217" t="n"/>
      <c r="L48" s="216">
        <f>(L13/(1+$B$5))*(1-$D$5)-$J$5</f>
        <v/>
      </c>
      <c r="M48" s="217" t="n"/>
      <c r="N48" s="217" t="n"/>
    </row>
    <row r="49" ht="24" customHeight="1" s="24">
      <c r="A49" s="213" t="inlineStr">
        <is>
          <t>% Marge nette</t>
        </is>
      </c>
      <c r="B49" s="218">
        <f>IFERROR((((B13/(1+$B$5))*(1-$D$5))-$F$5)/((B13/(1+$B$5))*(1-$D$5)),0)</f>
        <v/>
      </c>
      <c r="G49" s="218">
        <f>IFERROR((((G13/(1+$B$5))*(1-$D$5))-$H$5)/((G13/(1+$B$5))*(1-$D$5)),0)</f>
        <v/>
      </c>
      <c r="L49" s="218">
        <f>IFERROR((((L13/(1+$B$5))*(1-$D$5))-$J$5)/((L13/(1+$B$5))*(1-$D$5)),0)</f>
        <v/>
      </c>
    </row>
  </sheetData>
  <mergeCells count="64">
    <mergeCell ref="A40:N40"/>
    <mergeCell ref="B42:D42"/>
    <mergeCell ref="G10:I10"/>
    <mergeCell ref="B14:D14"/>
    <mergeCell ref="L42:N42"/>
    <mergeCell ref="F9:I9"/>
    <mergeCell ref="G13:I13"/>
    <mergeCell ref="L14:N14"/>
    <mergeCell ref="K22:M22"/>
    <mergeCell ref="B13:D13"/>
    <mergeCell ref="L45:N45"/>
    <mergeCell ref="G49:I49"/>
    <mergeCell ref="K7:N7"/>
    <mergeCell ref="B44:D44"/>
    <mergeCell ref="A1:N1"/>
    <mergeCell ref="B10:D10"/>
    <mergeCell ref="F23:H23"/>
    <mergeCell ref="A9:D9"/>
    <mergeCell ref="L10:N10"/>
    <mergeCell ref="G14:I14"/>
    <mergeCell ref="F22:H22"/>
    <mergeCell ref="L41:N41"/>
    <mergeCell ref="L44:N44"/>
    <mergeCell ref="G45:I45"/>
    <mergeCell ref="B49:D49"/>
    <mergeCell ref="K23:M23"/>
    <mergeCell ref="K16:N16"/>
    <mergeCell ref="F16:I16"/>
    <mergeCell ref="K9:N9"/>
    <mergeCell ref="G47:I47"/>
    <mergeCell ref="L49:N49"/>
    <mergeCell ref="L46:N46"/>
    <mergeCell ref="G44:I44"/>
    <mergeCell ref="G41:I41"/>
    <mergeCell ref="F7:I7"/>
    <mergeCell ref="B41:D41"/>
    <mergeCell ref="B45:D45"/>
    <mergeCell ref="A2:N2"/>
    <mergeCell ref="G46:I46"/>
    <mergeCell ref="F12:I12"/>
    <mergeCell ref="K20:N20"/>
    <mergeCell ref="A7:D7"/>
    <mergeCell ref="A16:D16"/>
    <mergeCell ref="F20:I20"/>
    <mergeCell ref="L48:N48"/>
    <mergeCell ref="G43:I43"/>
    <mergeCell ref="K25:M25"/>
    <mergeCell ref="B47:D47"/>
    <mergeCell ref="F25:H25"/>
    <mergeCell ref="K24:M24"/>
    <mergeCell ref="G42:I42"/>
    <mergeCell ref="A4:N4"/>
    <mergeCell ref="A12:D12"/>
    <mergeCell ref="B46:D46"/>
    <mergeCell ref="L13:N13"/>
    <mergeCell ref="K12:N12"/>
    <mergeCell ref="K21:M21"/>
    <mergeCell ref="L47:N47"/>
    <mergeCell ref="G48:I48"/>
    <mergeCell ref="L43:N43"/>
    <mergeCell ref="B43:D43"/>
    <mergeCell ref="F21:H21"/>
    <mergeCell ref="B48:D48"/>
    <mergeCell ref="F24:H24"/>
  </mergeCells>
  <dataValidations count="3">
    <dataValidation sqref="B10" showDropDown="0" showInputMessage="0" showErrorMessage="0" allowBlank="0" type="list">
      <formula1>"1,2,3,4,5,6,7,8,9,10"</formula1>
    </dataValidation>
    <dataValidation sqref="G10" showDropDown="0" showInputMessage="0" showErrorMessage="0" allowBlank="0" type="list">
      <formula1>"1,2,3,4,5,6,7,8,9,10"</formula1>
    </dataValidation>
    <dataValidation sqref="L10" showDropDown="0" showInputMessage="0" showErrorMessage="0" allowBlank="0" type="list">
      <formula1>"1,2,3,4,5,6,7,8,9,10"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48"/>
  <sheetViews>
    <sheetView workbookViewId="0">
      <pane xSplit="1" ySplit="2" topLeftCell="N3" activePane="bottomRight" state="frozen"/>
      <selection pane="topRight" activeCell="A1" sqref="A1"/>
      <selection pane="bottomLeft" activeCell="A1" sqref="A1"/>
      <selection pane="bottomRight" activeCell="S7" sqref="S7"/>
    </sheetView>
  </sheetViews>
  <sheetFormatPr baseColWidth="10" defaultColWidth="8.7265625" defaultRowHeight="14.5"/>
  <cols>
    <col width="36" customWidth="1" style="24" min="1" max="1"/>
    <col width="17.81640625" bestFit="1" customWidth="1" style="24" min="2" max="4"/>
    <col width="18" customWidth="1" style="24" min="5" max="6"/>
    <col width="21.54296875" bestFit="1" customWidth="1" style="24" min="7" max="7"/>
    <col width="20.54296875" bestFit="1" customWidth="1" style="24" min="8" max="9"/>
    <col width="22.6328125" bestFit="1" customWidth="1" style="24" min="10" max="10"/>
    <col width="18.26953125" bestFit="1" customWidth="1" style="24" min="11" max="11"/>
    <col width="24.08984375" bestFit="1" customWidth="1" style="24" min="12" max="12"/>
    <col width="21.6328125" bestFit="1" customWidth="1" style="24" min="13" max="13"/>
    <col width="26.26953125" bestFit="1" customWidth="1" style="24" min="14" max="14"/>
    <col width="21.90625" bestFit="1" customWidth="1" style="24" min="15" max="15"/>
    <col width="27.81640625" bestFit="1" customWidth="1" style="24" min="16" max="16"/>
    <col width="25.36328125" bestFit="1" customWidth="1" style="24" min="17" max="17"/>
    <col width="22.6328125" bestFit="1" customWidth="1" style="24" min="18" max="18"/>
    <col width="26.81640625" bestFit="1" customWidth="1" style="24" min="19" max="19"/>
    <col width="17.81640625" bestFit="1" customWidth="1" style="24" min="20" max="20"/>
    <col width="30.36328125" bestFit="1" customWidth="1" style="24" min="21" max="21"/>
    <col width="30.90625" bestFit="1" customWidth="1" style="24" min="22" max="22"/>
    <col width="29.26953125" bestFit="1" customWidth="1" style="24" min="23" max="23"/>
    <col width="24.81640625" bestFit="1" customWidth="1" style="24" min="24" max="24"/>
    <col width="25.453125" bestFit="1" customWidth="1" style="24" min="25" max="25"/>
    <col width="21.54296875" bestFit="1" customWidth="1" style="24" min="26" max="26"/>
    <col width="28.6328125" bestFit="1" customWidth="1" style="24" min="27" max="27"/>
    <col width="27.6328125" bestFit="1" customWidth="1" style="24" min="28" max="28"/>
    <col width="18" customWidth="1" style="24" min="29" max="29"/>
    <col width="23.7265625" bestFit="1" customWidth="1" style="24" min="30" max="30"/>
    <col width="21.54296875" bestFit="1" customWidth="1" style="24" min="31" max="31"/>
    <col width="31.453125" bestFit="1" customWidth="1" style="24" min="32" max="32"/>
    <col width="21.54296875" bestFit="1" customWidth="1" style="24" min="33" max="33"/>
    <col width="22.08984375" bestFit="1" customWidth="1" style="24" min="34" max="34"/>
    <col width="19.90625" bestFit="1" customWidth="1" style="24" min="35" max="35"/>
    <col width="21.54296875" bestFit="1" customWidth="1" style="24" min="36" max="36"/>
    <col width="20.54296875" bestFit="1" customWidth="1" style="24" min="37" max="37"/>
    <col width="22.08984375" bestFit="1" customWidth="1" style="24" min="38" max="38"/>
    <col width="20.54296875" bestFit="1" customWidth="1" style="24" min="39" max="39"/>
    <col width="21.36328125" bestFit="1" customWidth="1" style="24" min="40" max="40"/>
    <col width="21.81640625" bestFit="1" customWidth="1" style="24" min="41" max="41"/>
    <col width="23.26953125" bestFit="1" customWidth="1" style="24" min="42" max="42"/>
    <col width="22.36328125" bestFit="1" customWidth="1" style="24" min="43" max="43"/>
    <col width="23.81640625" bestFit="1" customWidth="1" style="24" min="44" max="44"/>
    <col width="34.08984375" bestFit="1" customWidth="1" style="24" min="45" max="45"/>
    <col width="21.36328125" bestFit="1" customWidth="1" style="24" min="46" max="46"/>
    <col width="17.81640625" bestFit="1" customWidth="1" style="24" min="47" max="47"/>
    <col width="18.36328125" bestFit="1" customWidth="1" style="24" min="48" max="48"/>
    <col width="19.453125" bestFit="1" customWidth="1" style="24" min="49" max="49"/>
    <col width="20.54296875" bestFit="1" customWidth="1" style="24" min="50" max="51"/>
  </cols>
  <sheetData>
    <row r="1">
      <c r="A1" s="1" t="inlineStr">
        <is>
          <t>MARQUE / PRODUIT</t>
        </is>
      </c>
      <c r="B1" s="2" t="inlineStr">
        <is>
          <t>IMPULSE</t>
        </is>
      </c>
      <c r="C1" s="2" t="inlineStr">
        <is>
          <t>IMPULSE</t>
        </is>
      </c>
      <c r="D1" s="2" t="inlineStr">
        <is>
          <t>IMPULSE</t>
        </is>
      </c>
      <c r="E1" s="2" t="inlineStr">
        <is>
          <t>IMPULSE</t>
        </is>
      </c>
      <c r="F1" s="2" t="inlineStr">
        <is>
          <t>IMPULSE</t>
        </is>
      </c>
      <c r="G1" s="3" t="inlineStr">
        <is>
          <t>NUTRIPURE</t>
        </is>
      </c>
      <c r="H1" s="3" t="inlineStr">
        <is>
          <t>NUTRIPURE</t>
        </is>
      </c>
      <c r="I1" s="3" t="inlineStr">
        <is>
          <t>NUTRIPURE</t>
        </is>
      </c>
      <c r="J1" s="3" t="inlineStr">
        <is>
          <t>NUTRIMUSCLE</t>
        </is>
      </c>
      <c r="K1" s="3" t="inlineStr">
        <is>
          <t>NUTRIMUSCLE</t>
        </is>
      </c>
      <c r="L1" s="3" t="inlineStr">
        <is>
          <t>NUTRIMUSCLE</t>
        </is>
      </c>
      <c r="M1" s="3" t="inlineStr">
        <is>
          <t>NUTRIMUSCLE</t>
        </is>
      </c>
      <c r="N1" s="3" t="inlineStr">
        <is>
          <t>NUTRIMUSCLE</t>
        </is>
      </c>
      <c r="O1" s="3" t="inlineStr">
        <is>
          <t>NUTRIMUSCLE</t>
        </is>
      </c>
      <c r="P1" s="3" t="inlineStr">
        <is>
          <t>NUTRIMUSCLE</t>
        </is>
      </c>
      <c r="Q1" s="3" t="inlineStr">
        <is>
          <t>NUTRIMUSCLE</t>
        </is>
      </c>
      <c r="R1" s="3" t="inlineStr">
        <is>
          <t>NUTRI&amp;CO</t>
        </is>
      </c>
      <c r="S1" s="3" t="inlineStr">
        <is>
          <t>NUTRI&amp;CO</t>
        </is>
      </c>
      <c r="T1" s="3" t="inlineStr">
        <is>
          <t>AQEELAB</t>
        </is>
      </c>
      <c r="U1" s="3" t="inlineStr">
        <is>
          <t>ERIC FAVRE</t>
        </is>
      </c>
      <c r="V1" s="3" t="inlineStr">
        <is>
          <t>ERIC FAVRE</t>
        </is>
      </c>
      <c r="W1" s="3" t="inlineStr">
        <is>
          <t>ERIC FAVRE</t>
        </is>
      </c>
      <c r="X1" s="3" t="inlineStr">
        <is>
          <t>ERIC FAVRE</t>
        </is>
      </c>
      <c r="Y1" s="3" t="inlineStr">
        <is>
          <t>ERIC FAVRE</t>
        </is>
      </c>
      <c r="Z1" s="3" t="inlineStr">
        <is>
          <t>ERIC FAVRE</t>
        </is>
      </c>
      <c r="AA1" s="3" t="inlineStr">
        <is>
          <t>ERIC FAVRE</t>
        </is>
      </c>
      <c r="AB1" s="3" t="inlineStr">
        <is>
          <t>ERIC FAVRE</t>
        </is>
      </c>
      <c r="AC1" s="3" t="inlineStr">
        <is>
          <t>EAFIT</t>
        </is>
      </c>
      <c r="AD1" s="3" t="inlineStr">
        <is>
          <t>EAFIT</t>
        </is>
      </c>
      <c r="AE1" s="3" t="inlineStr">
        <is>
          <t>EAFIT</t>
        </is>
      </c>
      <c r="AF1" s="3" t="inlineStr">
        <is>
          <t>EAFIT</t>
        </is>
      </c>
      <c r="AG1" s="3" t="inlineStr">
        <is>
          <t>EAFIT</t>
        </is>
      </c>
      <c r="AH1" s="3" t="inlineStr">
        <is>
          <t>EAFIT</t>
        </is>
      </c>
      <c r="AI1" s="3" t="inlineStr">
        <is>
          <t>BULK</t>
        </is>
      </c>
      <c r="AJ1" s="3" t="inlineStr">
        <is>
          <t>BULK</t>
        </is>
      </c>
      <c r="AK1" s="3" t="inlineStr">
        <is>
          <t>BULK</t>
        </is>
      </c>
      <c r="AL1" s="3" t="inlineStr">
        <is>
          <t>BULK</t>
        </is>
      </c>
      <c r="AM1" s="3" t="inlineStr">
        <is>
          <t>BULK</t>
        </is>
      </c>
      <c r="AN1" s="3" t="inlineStr">
        <is>
          <t>BULK</t>
        </is>
      </c>
      <c r="AO1" s="3" t="inlineStr">
        <is>
          <t>MYPROTEIN</t>
        </is>
      </c>
      <c r="AP1" s="3" t="inlineStr">
        <is>
          <t>MYPROTEIN</t>
        </is>
      </c>
      <c r="AQ1" s="3" t="inlineStr">
        <is>
          <t>MYPROTEIN</t>
        </is>
      </c>
      <c r="AR1" s="3" t="inlineStr">
        <is>
          <t>MYPROTEIN</t>
        </is>
      </c>
      <c r="AS1" s="3" t="inlineStr">
        <is>
          <t>MYPROTEIN</t>
        </is>
      </c>
      <c r="AT1" s="3" t="inlineStr">
        <is>
          <t>MYPROTEIN</t>
        </is>
      </c>
      <c r="AU1" s="3" t="inlineStr">
        <is>
          <t>BIOTECHUSA</t>
        </is>
      </c>
      <c r="AV1" s="3" t="inlineStr">
        <is>
          <t>BIOTECHUSA</t>
        </is>
      </c>
      <c r="AW1" s="3" t="inlineStr">
        <is>
          <t>BIOTECHUSA</t>
        </is>
      </c>
      <c r="AX1" s="3" t="inlineStr">
        <is>
          <t>BIOTECHUSA</t>
        </is>
      </c>
      <c r="AY1" s="3" t="inlineStr">
        <is>
          <t>BIOTECHUSA</t>
        </is>
      </c>
    </row>
    <row r="2" ht="36" customHeight="1" s="24">
      <c r="A2" s="4" t="inlineStr">
        <is>
          <t>RÉFÉRENCE</t>
        </is>
      </c>
      <c r="B2" s="5" t="inlineStr">
        <is>
          <t>Whey Isolate
(750g chocolat)</t>
        </is>
      </c>
      <c r="C2" s="5" t="inlineStr">
        <is>
          <t>Whey Isolate
(750g vanille)</t>
        </is>
      </c>
      <c r="D2" s="5" t="inlineStr">
        <is>
          <t>Whey Isolate
(750g nature)</t>
        </is>
      </c>
      <c r="E2" s="5" t="inlineStr">
        <is>
          <t>Whey Recovery
(525g chocolat)</t>
        </is>
      </c>
      <c r="F2" s="5" t="inlineStr">
        <is>
          <t>Whey Recovery
(525g vanille)</t>
        </is>
      </c>
      <c r="G2" s="6" t="inlineStr">
        <is>
          <t>Whey Isolat Native 750g
(750g chocolat)</t>
        </is>
      </c>
      <c r="H2" s="6" t="inlineStr">
        <is>
          <t>Whey Isolat Native 2kg
(2kg chocolat)</t>
        </is>
      </c>
      <c r="I2" s="6" t="inlineStr">
        <is>
          <t>Whey Isolat Native 4kg
(4kg chocolat)</t>
        </is>
      </c>
      <c r="J2" s="6" t="inlineStr">
        <is>
          <t>Whey Native Isolate 500g
(500g chocolat)</t>
        </is>
      </c>
      <c r="K2" s="6" t="inlineStr">
        <is>
          <t>Whey Native Isolate
(1kg chocolat)</t>
        </is>
      </c>
      <c r="L2" s="6" t="inlineStr">
        <is>
          <t>Whey Native Isolate 2,25kg
(2.25kg chocolat)</t>
        </is>
      </c>
      <c r="M2" s="6" t="inlineStr">
        <is>
          <t>Whey Native Isolate 4kg
(4kg chocolat)</t>
        </is>
      </c>
      <c r="N2" s="6" t="inlineStr">
        <is>
          <t>Whey Native Concentrat 500g
(500g chocolat)</t>
        </is>
      </c>
      <c r="O2" s="6" t="inlineStr">
        <is>
          <t>Whey Native Concentrat
(1kg chocolat)</t>
        </is>
      </c>
      <c r="P2" s="6" t="inlineStr">
        <is>
          <t>Whey Native Concentrat 2,25kg
(2.25kg chocolat)</t>
        </is>
      </c>
      <c r="Q2" s="6" t="inlineStr">
        <is>
          <t>Whey Native Concentrat 4kg
(4kg chocolat)</t>
        </is>
      </c>
      <c r="R2" s="6" t="inlineStr">
        <is>
          <t>Whey Isolate Native 900g
(900g chocolat)</t>
        </is>
      </c>
      <c r="S2" s="6" t="inlineStr">
        <is>
          <t>Whey Concentrée Native 900g
(900g chocolat)</t>
        </is>
      </c>
      <c r="T2" s="6" t="inlineStr">
        <is>
          <t>Whey Native 810g
(810g chocolat)</t>
        </is>
      </c>
      <c r="U2" s="6" t="inlineStr">
        <is>
          <t>Iso Zero 100% Whey Protéine 500g
(500g cookies cream)</t>
        </is>
      </c>
      <c r="V2" s="6" t="inlineStr">
        <is>
          <t>Iso Zero 100% Whey Protéine 1,5kg
(1.5kg chocolat)</t>
        </is>
      </c>
      <c r="W2" s="6" t="inlineStr">
        <is>
          <t>Iso Zero 100% Whey Protéine 2kg
(2kg chocotella)</t>
        </is>
      </c>
      <c r="X2" s="6" t="inlineStr">
        <is>
          <t>Whey Optimax Protein 500g
(500g biscuit cookie)</t>
        </is>
      </c>
      <c r="Y2" s="6" t="inlineStr">
        <is>
          <t>Whey Optimax Protein 1,5kg
(1.5kg chocolat)</t>
        </is>
      </c>
      <c r="Z2" s="6" t="inlineStr">
        <is>
          <t>Whey Zero Protéine 2kg
(2kg chocolat)</t>
        </is>
      </c>
      <c r="AA2" s="6" t="inlineStr">
        <is>
          <t>Iso Fusion Protein Complex 750g
(750g biscuit cookie)</t>
        </is>
      </c>
      <c r="AB2" s="6" t="inlineStr">
        <is>
          <t>Iso Fusion Protein Complex 2kg
(2kg biscuit cookie)</t>
        </is>
      </c>
      <c r="AC2" s="6" t="inlineStr">
        <is>
          <t>Pure Isolate 750g
(750g chocolat)</t>
        </is>
      </c>
      <c r="AD2" s="6" t="inlineStr">
        <is>
          <t>Pure Isolate Premium 750g
(750g citron)</t>
        </is>
      </c>
      <c r="AE2" s="6" t="inlineStr">
        <is>
          <t>Pure Whey Protein 750g
(750g double chocolat)</t>
        </is>
      </c>
      <c r="AF2" s="6" t="inlineStr">
        <is>
          <t>Mega Whey Creatine Complex 750g
(750g chocolat)</t>
        </is>
      </c>
      <c r="AG2" s="6" t="inlineStr">
        <is>
          <t>Pure Whey Protein 850g
(850g double chocolat)</t>
        </is>
      </c>
      <c r="AH2" s="6" t="inlineStr">
        <is>
          <t>Pure Whey Protein 2.2kg
(2.2kg double chocolat)</t>
        </is>
      </c>
      <c r="AI2" s="6" t="inlineStr">
        <is>
          <t>Pure Whey Isolate 1kg
(1kg chocolat)</t>
        </is>
      </c>
      <c r="AJ2" s="6" t="inlineStr">
        <is>
          <t>Pure Whey Isolate 2,5kg
(2.5kg chocolat)</t>
        </is>
      </c>
      <c r="AK2" s="6" t="inlineStr">
        <is>
          <t>Pure Whey Protein 1kg
(1kg chocolat)</t>
        </is>
      </c>
      <c r="AL2" s="6" t="inlineStr">
        <is>
          <t>Pure Whey Protein 2,5kg
(2.5kg chocolat)</t>
        </is>
      </c>
      <c r="AM2" s="6" t="inlineStr">
        <is>
          <t>Pure Whey Protein 5kg
(5kg chocolat)</t>
        </is>
      </c>
      <c r="AN2" s="6" t="inlineStr">
        <is>
          <t>Clear Whey Isolate 500g
(500g fraise)</t>
        </is>
      </c>
      <c r="AO2" s="6" t="inlineStr">
        <is>
          <t>Impact Whey Isolate 1kg
(1kg chocolat)</t>
        </is>
      </c>
      <c r="AP2" s="6" t="inlineStr">
        <is>
          <t>Impact Whey Isolate 2,5kg
(2.5kg chocolat)</t>
        </is>
      </c>
      <c r="AQ2" s="6" t="inlineStr">
        <is>
          <t>Impact Whey Protein 1kg
(1kg chocolat)</t>
        </is>
      </c>
      <c r="AR2" s="6" t="inlineStr">
        <is>
          <t>Impact Whey Protein 2,5kg
(2.5kg chocolat)</t>
        </is>
      </c>
      <c r="AS2" s="6" t="inlineStr">
        <is>
          <t>Impact Whey Protein 5kg (Sans arôme)
(5kg sans arôme)</t>
        </is>
      </c>
      <c r="AT2" s="6" t="inlineStr">
        <is>
          <t>Clear Whey Isolate 875g
(875g fraise)</t>
        </is>
      </c>
      <c r="AU2" s="6" t="inlineStr">
        <is>
          <t>Iso Whey Zero 908g
(908g chocolat)</t>
        </is>
      </c>
      <c r="AV2" s="6" t="inlineStr">
        <is>
          <t>Iso Whey Zero 1816g
(1.816kg chocolat)</t>
        </is>
      </c>
      <c r="AW2" s="6" t="inlineStr">
        <is>
          <t>100% Pure Whey 400g
(400g chocolat)</t>
        </is>
      </c>
      <c r="AX2" s="6" t="inlineStr">
        <is>
          <t>100% Pure Whey 1000g
(1kg chocolat)</t>
        </is>
      </c>
      <c r="AY2" s="6" t="inlineStr">
        <is>
          <t>100% Pure Whey 2000g
(2kg chocolat)</t>
        </is>
      </c>
    </row>
    <row r="3" ht="15.5" customHeight="1" s="24">
      <c r="A3" s="7" t="inlineStr">
        <is>
          <t>IDENTIFICATION</t>
        </is>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c r="AA3" s="8" t="n"/>
      <c r="AB3" s="8" t="n"/>
      <c r="AC3" s="8" t="n"/>
      <c r="AD3" s="8" t="n"/>
      <c r="AE3" s="8" t="n"/>
      <c r="AF3" s="8" t="n"/>
      <c r="AG3" s="8" t="n"/>
      <c r="AH3" s="8" t="n"/>
      <c r="AI3" s="8" t="n"/>
      <c r="AJ3" s="8" t="n"/>
      <c r="AK3" s="8" t="n"/>
      <c r="AL3" s="8" t="n"/>
      <c r="AM3" s="8" t="n"/>
      <c r="AN3" s="8" t="n"/>
      <c r="AO3" s="8" t="n"/>
      <c r="AP3" s="8" t="n"/>
      <c r="AQ3" s="8" t="n"/>
      <c r="AR3" s="8" t="n"/>
      <c r="AS3" s="8" t="n"/>
      <c r="AT3" s="8" t="n"/>
      <c r="AU3" s="8" t="n"/>
      <c r="AV3" s="8" t="n"/>
      <c r="AW3" s="8" t="n"/>
      <c r="AX3" s="8" t="n"/>
      <c r="AY3" s="8" t="n"/>
    </row>
    <row r="4" ht="29" customHeight="1" s="24">
      <c r="A4" s="4" t="inlineStr">
        <is>
          <t>Type de whey</t>
        </is>
      </c>
      <c r="B4" s="9" t="inlineStr">
        <is>
          <t>isolat natif (natif)</t>
        </is>
      </c>
      <c r="C4" s="9" t="inlineStr">
        <is>
          <t>isolat natif (natif)</t>
        </is>
      </c>
      <c r="D4" s="9" t="inlineStr">
        <is>
          <t>isolat natif (natif)</t>
        </is>
      </c>
      <c r="E4" s="9" t="inlineStr">
        <is>
          <t>concentrat fromagere</t>
        </is>
      </c>
      <c r="F4" s="9" t="inlineStr">
        <is>
          <t>concentrat fromagere</t>
        </is>
      </c>
      <c r="G4" s="10" t="inlineStr">
        <is>
          <t>isolat natif (natif)</t>
        </is>
      </c>
      <c r="H4" s="10" t="inlineStr">
        <is>
          <t>isolat natif (natif)</t>
        </is>
      </c>
      <c r="I4" s="10" t="inlineStr">
        <is>
          <t>isolat natif (natif)</t>
        </is>
      </c>
      <c r="J4" s="10" t="inlineStr">
        <is>
          <t>isolat natif (natif)</t>
        </is>
      </c>
      <c r="K4" s="10" t="inlineStr">
        <is>
          <t>isolat natif (natif)</t>
        </is>
      </c>
      <c r="L4" s="10" t="inlineStr">
        <is>
          <t>isolat natif (natif)</t>
        </is>
      </c>
      <c r="M4" s="10" t="inlineStr">
        <is>
          <t>isolat natif (natif)</t>
        </is>
      </c>
      <c r="N4" s="10" t="inlineStr">
        <is>
          <t>concentrat natif (natif)</t>
        </is>
      </c>
      <c r="O4" s="10" t="inlineStr">
        <is>
          <t>concentrat natif (natif)</t>
        </is>
      </c>
      <c r="P4" s="10" t="inlineStr">
        <is>
          <t>concentrat natif (natif)</t>
        </is>
      </c>
      <c r="Q4" s="10" t="inlineStr">
        <is>
          <t>concentrat natif (natif)</t>
        </is>
      </c>
      <c r="R4" s="10" t="inlineStr">
        <is>
          <t>isolat natif (natif)</t>
        </is>
      </c>
      <c r="S4" s="10" t="inlineStr">
        <is>
          <t>concentrat natif (natif)</t>
        </is>
      </c>
      <c r="T4" s="10" t="inlineStr">
        <is>
          <t>concentrat natif (natif)</t>
        </is>
      </c>
      <c r="U4" s="10" t="inlineStr">
        <is>
          <t>isolat fromagere</t>
        </is>
      </c>
      <c r="V4" s="10" t="inlineStr">
        <is>
          <t>isolat fromagere</t>
        </is>
      </c>
      <c r="W4" s="10" t="inlineStr">
        <is>
          <t>isolat fromagere</t>
        </is>
      </c>
      <c r="X4" s="10" t="inlineStr">
        <is>
          <t>concentrat fromagere</t>
        </is>
      </c>
      <c r="Y4" s="10" t="inlineStr">
        <is>
          <t>concentrat fromagere</t>
        </is>
      </c>
      <c r="Z4" s="10" t="inlineStr">
        <is>
          <t>concentrat fromagere</t>
        </is>
      </c>
      <c r="AA4" s="10" t="inlineStr">
        <is>
          <t>mix concentrat isolat</t>
        </is>
      </c>
      <c r="AB4" s="10" t="inlineStr">
        <is>
          <t>mix concentrat isolat</t>
        </is>
      </c>
      <c r="AC4" s="10" t="inlineStr">
        <is>
          <t>isolat fromagere</t>
        </is>
      </c>
      <c r="AD4" s="10" t="inlineStr">
        <is>
          <t>isolat fromagere</t>
        </is>
      </c>
      <c r="AE4" s="10" t="inlineStr">
        <is>
          <t>concentrat fromagere</t>
        </is>
      </c>
      <c r="AF4" s="10" t="inlineStr">
        <is>
          <t>concentrat fromagere</t>
        </is>
      </c>
      <c r="AG4" s="10" t="inlineStr">
        <is>
          <t>concentrat fromagere</t>
        </is>
      </c>
      <c r="AH4" s="10" t="inlineStr">
        <is>
          <t>concentrat fromagere</t>
        </is>
      </c>
      <c r="AI4" s="10" t="inlineStr">
        <is>
          <t>isolat fromagere</t>
        </is>
      </c>
      <c r="AJ4" s="10" t="inlineStr">
        <is>
          <t>isolat fromagere</t>
        </is>
      </c>
      <c r="AK4" s="10" t="inlineStr">
        <is>
          <t>concentrat fromagere</t>
        </is>
      </c>
      <c r="AL4" s="10" t="inlineStr">
        <is>
          <t>concentrat fromagere</t>
        </is>
      </c>
      <c r="AM4" s="10" t="inlineStr">
        <is>
          <t>concentrat fromagere</t>
        </is>
      </c>
      <c r="AN4" s="10" t="inlineStr">
        <is>
          <t>clear hydrolysat</t>
        </is>
      </c>
      <c r="AO4" s="10" t="inlineStr">
        <is>
          <t>isolat fromagere</t>
        </is>
      </c>
      <c r="AP4" s="10" t="inlineStr">
        <is>
          <t>isolat fromagere</t>
        </is>
      </c>
      <c r="AQ4" s="10" t="inlineStr">
        <is>
          <t>concentrat fromagere</t>
        </is>
      </c>
      <c r="AR4" s="10" t="inlineStr">
        <is>
          <t>concentrat fromagere</t>
        </is>
      </c>
      <c r="AS4" s="10" t="inlineStr">
        <is>
          <t>concentrat fromagere</t>
        </is>
      </c>
      <c r="AT4" s="10" t="inlineStr">
        <is>
          <t>clear hydrolysat</t>
        </is>
      </c>
      <c r="AU4" s="10" t="inlineStr">
        <is>
          <t>isolat fromagere</t>
        </is>
      </c>
      <c r="AV4" s="10" t="inlineStr">
        <is>
          <t>isolat fromagere</t>
        </is>
      </c>
      <c r="AW4" s="10" t="inlineStr">
        <is>
          <t>concentrat fromagere</t>
        </is>
      </c>
      <c r="AX4" s="10" t="inlineStr">
        <is>
          <t>concentrat fromagere</t>
        </is>
      </c>
      <c r="AY4" s="10" t="inlineStr">
        <is>
          <t>concentrat fromagere</t>
        </is>
      </c>
    </row>
    <row r="5">
      <c r="A5" s="4" t="inlineStr">
        <is>
          <t>Poids net (g)</t>
        </is>
      </c>
      <c r="B5" s="9" t="n">
        <v>750</v>
      </c>
      <c r="C5" s="9" t="n">
        <v>750</v>
      </c>
      <c r="D5" s="9" t="n">
        <v>750</v>
      </c>
      <c r="E5" s="9" t="n">
        <v>525</v>
      </c>
      <c r="F5" s="9" t="n">
        <v>525</v>
      </c>
      <c r="G5" s="10" t="n">
        <v>750</v>
      </c>
      <c r="H5" s="10" t="n">
        <v>2000</v>
      </c>
      <c r="I5" s="10" t="n">
        <v>4000</v>
      </c>
      <c r="J5" s="10" t="n">
        <v>500</v>
      </c>
      <c r="K5" s="10" t="n">
        <v>1000</v>
      </c>
      <c r="L5" s="10" t="n">
        <v>2250</v>
      </c>
      <c r="M5" s="10" t="n">
        <v>4000</v>
      </c>
      <c r="N5" s="10" t="n">
        <v>500</v>
      </c>
      <c r="O5" s="10" t="n">
        <v>1000</v>
      </c>
      <c r="P5" s="10" t="n">
        <v>2250</v>
      </c>
      <c r="Q5" s="10" t="n">
        <v>4000</v>
      </c>
      <c r="R5" s="10" t="n">
        <v>900</v>
      </c>
      <c r="S5" s="10" t="n">
        <v>900</v>
      </c>
      <c r="T5" s="10" t="n">
        <v>810</v>
      </c>
      <c r="U5" s="10" t="n">
        <v>500</v>
      </c>
      <c r="V5" s="10" t="n">
        <v>1500</v>
      </c>
      <c r="W5" s="10" t="n">
        <v>2000</v>
      </c>
      <c r="X5" s="10" t="n">
        <v>500</v>
      </c>
      <c r="Y5" s="10" t="n">
        <v>1500</v>
      </c>
      <c r="Z5" s="10" t="n">
        <v>2000</v>
      </c>
      <c r="AA5" s="10" t="n">
        <v>750</v>
      </c>
      <c r="AB5" s="10" t="n">
        <v>2000</v>
      </c>
      <c r="AC5" s="10" t="n">
        <v>750</v>
      </c>
      <c r="AD5" s="10" t="n">
        <v>750</v>
      </c>
      <c r="AE5" s="10" t="n">
        <v>750</v>
      </c>
      <c r="AF5" s="10" t="n">
        <v>750</v>
      </c>
      <c r="AG5" s="10" t="n">
        <v>850</v>
      </c>
      <c r="AH5" s="10" t="n">
        <v>2200</v>
      </c>
      <c r="AI5" s="10" t="n">
        <v>1000</v>
      </c>
      <c r="AJ5" s="10" t="n">
        <v>2500</v>
      </c>
      <c r="AK5" s="10" t="n">
        <v>1000</v>
      </c>
      <c r="AL5" s="10" t="n">
        <v>2500</v>
      </c>
      <c r="AM5" s="10" t="n">
        <v>5000</v>
      </c>
      <c r="AN5" s="10" t="n">
        <v>500</v>
      </c>
      <c r="AO5" s="10" t="n">
        <v>1000</v>
      </c>
      <c r="AP5" s="10" t="n">
        <v>2500</v>
      </c>
      <c r="AQ5" s="10" t="n">
        <v>1000</v>
      </c>
      <c r="AR5" s="10" t="n">
        <v>2500</v>
      </c>
      <c r="AS5" s="10" t="n">
        <v>5000</v>
      </c>
      <c r="AT5" s="10" t="n">
        <v>875</v>
      </c>
      <c r="AU5" s="10" t="n">
        <v>908</v>
      </c>
      <c r="AV5" s="10" t="n">
        <v>1816</v>
      </c>
      <c r="AW5" s="10" t="n">
        <v>400</v>
      </c>
      <c r="AX5" s="10" t="n">
        <v>1000</v>
      </c>
      <c r="AY5" s="10" t="n">
        <v>2000</v>
      </c>
    </row>
    <row r="6">
      <c r="A6" s="4" t="inlineStr">
        <is>
          <t>Arôme pivot</t>
        </is>
      </c>
      <c r="B6" s="9" t="inlineStr">
        <is>
          <t>chocolat</t>
        </is>
      </c>
      <c r="C6" s="9" t="inlineStr">
        <is>
          <t>vanille</t>
        </is>
      </c>
      <c r="D6" s="9" t="inlineStr">
        <is>
          <t>nature</t>
        </is>
      </c>
      <c r="E6" s="9" t="inlineStr">
        <is>
          <t>chocolat</t>
        </is>
      </c>
      <c r="F6" s="9" t="inlineStr">
        <is>
          <t>vanille</t>
        </is>
      </c>
      <c r="G6" s="10" t="inlineStr">
        <is>
          <t>chocolat</t>
        </is>
      </c>
      <c r="H6" s="10" t="inlineStr">
        <is>
          <t>chocolat</t>
        </is>
      </c>
      <c r="I6" s="10" t="inlineStr">
        <is>
          <t>chocolat</t>
        </is>
      </c>
      <c r="J6" s="10" t="inlineStr">
        <is>
          <t>chocolat</t>
        </is>
      </c>
      <c r="K6" s="10" t="inlineStr">
        <is>
          <t>chocolat</t>
        </is>
      </c>
      <c r="L6" s="10" t="inlineStr">
        <is>
          <t>chocolat</t>
        </is>
      </c>
      <c r="M6" s="10" t="inlineStr">
        <is>
          <t>chocolat</t>
        </is>
      </c>
      <c r="N6" s="10" t="inlineStr">
        <is>
          <t>chocolat</t>
        </is>
      </c>
      <c r="O6" s="10" t="inlineStr">
        <is>
          <t>chocolat</t>
        </is>
      </c>
      <c r="P6" s="10" t="inlineStr">
        <is>
          <t>chocolat</t>
        </is>
      </c>
      <c r="Q6" s="10" t="inlineStr">
        <is>
          <t>chocolat</t>
        </is>
      </c>
      <c r="R6" s="10" t="inlineStr">
        <is>
          <t>chocolat</t>
        </is>
      </c>
      <c r="S6" s="10" t="inlineStr">
        <is>
          <t>chocolat</t>
        </is>
      </c>
      <c r="T6" s="10" t="inlineStr">
        <is>
          <t>chocolat</t>
        </is>
      </c>
      <c r="U6" s="10" t="inlineStr">
        <is>
          <t>cookies cream</t>
        </is>
      </c>
      <c r="V6" s="10" t="inlineStr">
        <is>
          <t>chocolat</t>
        </is>
      </c>
      <c r="W6" s="10" t="inlineStr">
        <is>
          <t>chocotella</t>
        </is>
      </c>
      <c r="X6" s="10" t="inlineStr">
        <is>
          <t>biscuit cookie</t>
        </is>
      </c>
      <c r="Y6" s="10" t="inlineStr">
        <is>
          <t>chocolat</t>
        </is>
      </c>
      <c r="Z6" s="10" t="inlineStr">
        <is>
          <t>chocolat</t>
        </is>
      </c>
      <c r="AA6" s="10" t="inlineStr">
        <is>
          <t>biscuit cookie</t>
        </is>
      </c>
      <c r="AB6" s="10" t="inlineStr">
        <is>
          <t>biscuit cookie</t>
        </is>
      </c>
      <c r="AC6" s="10" t="inlineStr">
        <is>
          <t>chocolat</t>
        </is>
      </c>
      <c r="AD6" s="10" t="inlineStr">
        <is>
          <t>citron</t>
        </is>
      </c>
      <c r="AE6" s="10" t="inlineStr">
        <is>
          <t>double chocolat</t>
        </is>
      </c>
      <c r="AF6" s="10" t="inlineStr">
        <is>
          <t>chocolat</t>
        </is>
      </c>
      <c r="AG6" s="10" t="inlineStr">
        <is>
          <t>double chocolat</t>
        </is>
      </c>
      <c r="AH6" s="10" t="inlineStr">
        <is>
          <t>double chocolat</t>
        </is>
      </c>
      <c r="AI6" s="10" t="inlineStr">
        <is>
          <t>chocolat</t>
        </is>
      </c>
      <c r="AJ6" s="10" t="inlineStr">
        <is>
          <t>chocolat</t>
        </is>
      </c>
      <c r="AK6" s="10" t="inlineStr">
        <is>
          <t>chocolat</t>
        </is>
      </c>
      <c r="AL6" s="10" t="inlineStr">
        <is>
          <t>chocolat</t>
        </is>
      </c>
      <c r="AM6" s="10" t="inlineStr">
        <is>
          <t>chocolat</t>
        </is>
      </c>
      <c r="AN6" s="10" t="inlineStr">
        <is>
          <t>fraise</t>
        </is>
      </c>
      <c r="AO6" s="10" t="inlineStr">
        <is>
          <t>chocolat</t>
        </is>
      </c>
      <c r="AP6" s="10" t="inlineStr">
        <is>
          <t>chocolat</t>
        </is>
      </c>
      <c r="AQ6" s="10" t="inlineStr">
        <is>
          <t>chocolat</t>
        </is>
      </c>
      <c r="AR6" s="10" t="inlineStr">
        <is>
          <t>chocolat</t>
        </is>
      </c>
      <c r="AS6" s="10" t="inlineStr">
        <is>
          <t>sans arôme</t>
        </is>
      </c>
      <c r="AT6" s="10" t="inlineStr">
        <is>
          <t>fraise</t>
        </is>
      </c>
      <c r="AU6" s="10" t="inlineStr">
        <is>
          <t>chocolat</t>
        </is>
      </c>
      <c r="AV6" s="10" t="inlineStr">
        <is>
          <t>chocolat</t>
        </is>
      </c>
      <c r="AW6" s="10" t="inlineStr">
        <is>
          <t>chocolat</t>
        </is>
      </c>
      <c r="AX6" s="10" t="inlineStr">
        <is>
          <t>chocolat</t>
        </is>
      </c>
      <c r="AY6" s="10" t="inlineStr">
        <is>
          <t>chocolat</t>
        </is>
      </c>
    </row>
    <row r="7" ht="87" customHeight="1" s="24">
      <c r="A7" s="4" t="inlineStr">
        <is>
          <t>Arômes disponibles (sample)</t>
        </is>
      </c>
      <c r="B7" s="9" t="inlineStr">
        <is>
          <t>chocolat, vanille, nature</t>
        </is>
      </c>
      <c r="C7" s="9" t="inlineStr">
        <is>
          <t>chocolat, vanille, nature</t>
        </is>
      </c>
      <c r="D7" s="9" t="inlineStr">
        <is>
          <t>chocolat, vanille, nature</t>
        </is>
      </c>
      <c r="E7" s="9" t="inlineStr">
        <is>
          <t>chocolat, vanille</t>
        </is>
      </c>
      <c r="F7" s="9" t="inlineStr">
        <is>
          <t>chocolat, vanille</t>
        </is>
      </c>
      <c r="G7" s="10" t="inlineStr">
        <is>
          <t>Chocolat, Vanille, Neutre, Noisette, Fraise</t>
        </is>
      </c>
      <c r="H7" s="10" t="inlineStr">
        <is>
          <t>Chocolat, Vanille, Neutre, Noisette, Fraise</t>
        </is>
      </c>
      <c r="I7" s="10" t="inlineStr">
        <is>
          <t>chocolat, vanille, neutre, noisette, fraise</t>
        </is>
      </c>
      <c r="J7" s="10" t="inlineStr">
        <is>
          <t>chocolat, nature, vanille, choco cookie, fraise, banane</t>
        </is>
      </c>
      <c r="K7" s="10" t="inlineStr">
        <is>
          <t>Chocolat, Vanille, Neutre, Fraise</t>
        </is>
      </c>
      <c r="L7" s="10" t="inlineStr">
        <is>
          <t>chocolat, nature, vanille, choco cookie, fraise, banane</t>
        </is>
      </c>
      <c r="M7" s="10" t="inlineStr">
        <is>
          <t>chocolat, nature, vanille, choco cookie, fraise, banane</t>
        </is>
      </c>
      <c r="N7" s="10" t="inlineStr">
        <is>
          <t>chocolat, vanille, nature</t>
        </is>
      </c>
      <c r="O7" s="10" t="inlineStr">
        <is>
          <t>Chocolat, Vanille, Neutre, Fraise</t>
        </is>
      </c>
      <c r="P7" s="10" t="inlineStr">
        <is>
          <t>chocolat, vanille, nature</t>
        </is>
      </c>
      <c r="Q7" s="10" t="inlineStr">
        <is>
          <t>chocolat, vanille, nature</t>
        </is>
      </c>
      <c r="R7" s="10" t="inlineStr">
        <is>
          <t>chocolat, vanille, sans arôme</t>
        </is>
      </c>
      <c r="S7" s="10" t="inlineStr">
        <is>
          <t>chocolat, vanille</t>
        </is>
      </c>
      <c r="T7" s="10" t="inlineStr">
        <is>
          <t>chocolat, vanille</t>
        </is>
      </c>
      <c r="U7" s="10" t="inlineStr">
        <is>
          <t>chocolat, vanille, cookies cream, chocotella, pistache</t>
        </is>
      </c>
      <c r="V7" s="10" t="inlineStr">
        <is>
          <t>chocolat, vanille, cookies cream, chocotella, pistache, framboisier, café latte</t>
        </is>
      </c>
      <c r="W7" s="10" t="inlineStr">
        <is>
          <t>chocolat, vanille, cookies cream, chocotella, pistache, framboisier, café latte</t>
        </is>
      </c>
      <c r="X7" s="10" t="inlineStr">
        <is>
          <t>chocolat, vanille, biscuit cookie</t>
        </is>
      </c>
      <c r="Y7" s="10" t="inlineStr">
        <is>
          <t>chocolat, vanille, biscuit cookie, chocotella</t>
        </is>
      </c>
      <c r="Z7" s="10" t="inlineStr">
        <is>
          <t>chocolat, vanille, cookies cream</t>
        </is>
      </c>
      <c r="AA7" s="10" t="inlineStr">
        <is>
          <t>biscuit cookie, vanille, chocotella</t>
        </is>
      </c>
      <c r="AB7" s="10" t="inlineStr">
        <is>
          <t>biscuit cookie, vanille, chocotella</t>
        </is>
      </c>
      <c r="AC7" s="10" t="inlineStr">
        <is>
          <t>chocolat, vanille, fruits rouges</t>
        </is>
      </c>
      <c r="AD7" s="10" t="inlineStr">
        <is>
          <t>citron</t>
        </is>
      </c>
      <c r="AE7" s="10" t="inlineStr">
        <is>
          <t>double chocolat, café, chocolat noisette, vanille intense, caramel, fraise</t>
        </is>
      </c>
      <c r="AF7" s="10" t="inlineStr">
        <is>
          <t>chocolat, vanille</t>
        </is>
      </c>
      <c r="AG7" s="10" t="inlineStr">
        <is>
          <t>double chocolat, café, chocolat noisette, vanille intense, caramel</t>
        </is>
      </c>
      <c r="AH7" s="10" t="inlineStr">
        <is>
          <t>double chocolat, vanille intense, fraise, myrtille, chocolat noisette</t>
        </is>
      </c>
      <c r="AI7" s="10" t="inlineStr">
        <is>
          <t>Choco, Vanille, Fraise, Neutre</t>
        </is>
      </c>
      <c r="AJ7" s="10" t="inlineStr">
        <is>
          <t>Choco, Vanille, Fraise, Neutre</t>
        </is>
      </c>
      <c r="AK7" s="10" t="inlineStr">
        <is>
          <t>+20 saveurs (Choco, Vanille, Fraise, Neutre...)</t>
        </is>
      </c>
      <c r="AL7" s="10" t="inlineStr">
        <is>
          <t>+20 saveurs</t>
        </is>
      </c>
      <c r="AM7" s="10" t="inlineStr">
        <is>
          <t>+20 saveurs</t>
        </is>
      </c>
      <c r="AN7" s="10" t="inlineStr">
        <is>
          <t>Fraise, Pastèque, Pêche, Ananas...</t>
        </is>
      </c>
      <c r="AO7" s="10" t="inlineStr">
        <is>
          <t>+40 saveurs</t>
        </is>
      </c>
      <c r="AP7" s="10" t="inlineStr">
        <is>
          <t>+40 saveurs</t>
        </is>
      </c>
      <c r="AQ7" s="10" t="inlineStr">
        <is>
          <t>+40 saveurs (Choco Brownie, Vanille, Fraise, Neutre...)</t>
        </is>
      </c>
      <c r="AR7" s="10" t="inlineStr">
        <is>
          <t>+40 saveurs</t>
        </is>
      </c>
      <c r="AS7" s="10" t="inlineStr">
        <is>
          <t>sans arôme</t>
        </is>
      </c>
      <c r="AT7" s="10" t="inlineStr">
        <is>
          <t>Fraise, Pastèque, Limonade, Tropical...</t>
        </is>
      </c>
      <c r="AU7" s="10" t="inlineStr">
        <is>
          <t>chocolat, chocolat blanc, vanille, caramel catalan, banane, black biscuit</t>
        </is>
      </c>
      <c r="AV7" s="10" t="inlineStr">
        <is>
          <t>chocolat, chocolat blanc, vanille, caramel catalan, banane</t>
        </is>
      </c>
      <c r="AW7" s="10" t="inlineStr">
        <is>
          <t>chocolat, vanille bourbon, fraise, noisettes, beurre de cacahuète au chocolat, cookies &amp; cream</t>
        </is>
      </c>
      <c r="AX7" s="10" t="inlineStr">
        <is>
          <t>chocolat, vanille bourbon, fraise, noisettes, cookies &amp; cream</t>
        </is>
      </c>
      <c r="AY7" s="10" t="inlineStr">
        <is>
          <t>chocolat, vanille bourbon, fraise, noisettes, cookies &amp; cream</t>
        </is>
      </c>
    </row>
    <row r="8">
      <c r="A8" s="4" t="inlineStr">
        <is>
          <t>Origine lait</t>
        </is>
      </c>
      <c r="B8" s="9" t="inlineStr">
        <is>
          <t>France</t>
        </is>
      </c>
      <c r="C8" s="9" t="inlineStr">
        <is>
          <t>France</t>
        </is>
      </c>
      <c r="D8" s="9" t="inlineStr">
        <is>
          <t>France</t>
        </is>
      </c>
      <c r="E8" s="9" t="inlineStr">
        <is>
          <t>UE</t>
        </is>
      </c>
      <c r="F8" s="9" t="inlineStr">
        <is>
          <t>UE</t>
        </is>
      </c>
      <c r="G8" s="10" t="inlineStr">
        <is>
          <t>France (pâturages)</t>
        </is>
      </c>
      <c r="H8" s="10" t="inlineStr">
        <is>
          <t>France (pâturages)</t>
        </is>
      </c>
      <c r="I8" s="10" t="inlineStr">
        <is>
          <t>France (pâturages)</t>
        </is>
      </c>
      <c r="J8" s="10" t="inlineStr">
        <is>
          <t>France (Lactalis)</t>
        </is>
      </c>
      <c r="K8" s="10" t="inlineStr">
        <is>
          <t>France (Lactalis)</t>
        </is>
      </c>
      <c r="L8" s="10" t="inlineStr">
        <is>
          <t>France (Lactalis)</t>
        </is>
      </c>
      <c r="M8" s="10" t="inlineStr">
        <is>
          <t>France (Lactalis)</t>
        </is>
      </c>
      <c r="N8" s="10" t="inlineStr">
        <is>
          <t>France (Lactalis)</t>
        </is>
      </c>
      <c r="O8" s="10" t="inlineStr">
        <is>
          <t>France (Lactalis)</t>
        </is>
      </c>
      <c r="P8" s="10" t="inlineStr">
        <is>
          <t>France (Lactalis)</t>
        </is>
      </c>
      <c r="Q8" s="10" t="inlineStr">
        <is>
          <t>France (Lactalis)</t>
        </is>
      </c>
      <c r="R8" s="10" t="inlineStr">
        <is>
          <t>France</t>
        </is>
      </c>
      <c r="S8" s="10" t="inlineStr">
        <is>
          <t>France (pâturages)</t>
        </is>
      </c>
      <c r="T8" s="10" t="inlineStr">
        <is>
          <t>France</t>
        </is>
      </c>
      <c r="U8" s="10" t="n"/>
      <c r="V8" s="10" t="n"/>
      <c r="W8" s="10" t="n"/>
      <c r="X8" s="10" t="n"/>
      <c r="Y8" s="10" t="n"/>
      <c r="Z8" s="10" t="n"/>
      <c r="AA8" s="10" t="n"/>
      <c r="AB8" s="10" t="n"/>
      <c r="AC8" s="10" t="n"/>
      <c r="AD8" s="10" t="n"/>
      <c r="AE8" s="10" t="n"/>
      <c r="AF8" s="10" t="n"/>
      <c r="AG8" s="10" t="n"/>
      <c r="AH8" s="10" t="n"/>
      <c r="AI8" s="10" t="inlineStr">
        <is>
          <t>UE</t>
        </is>
      </c>
      <c r="AJ8" s="10" t="inlineStr">
        <is>
          <t>UE</t>
        </is>
      </c>
      <c r="AK8" s="10" t="inlineStr">
        <is>
          <t>UE</t>
        </is>
      </c>
      <c r="AL8" s="10" t="inlineStr">
        <is>
          <t>UE</t>
        </is>
      </c>
      <c r="AM8" s="10" t="inlineStr">
        <is>
          <t>UE</t>
        </is>
      </c>
      <c r="AN8" s="10" t="inlineStr">
        <is>
          <t>UE</t>
        </is>
      </c>
      <c r="AO8" s="10" t="inlineStr">
        <is>
          <t>UE</t>
        </is>
      </c>
      <c r="AP8" s="10" t="inlineStr">
        <is>
          <t>UE</t>
        </is>
      </c>
      <c r="AQ8" s="10" t="inlineStr">
        <is>
          <t>UE (UK, IE, NL...)</t>
        </is>
      </c>
      <c r="AR8" s="10" t="inlineStr">
        <is>
          <t>UE</t>
        </is>
      </c>
      <c r="AS8" s="10" t="inlineStr">
        <is>
          <t>UE</t>
        </is>
      </c>
      <c r="AT8" s="10" t="inlineStr">
        <is>
          <t>UE</t>
        </is>
      </c>
      <c r="AU8" s="10" t="n"/>
      <c r="AV8" s="10" t="n"/>
      <c r="AW8" s="10" t="n"/>
      <c r="AX8" s="10" t="n"/>
      <c r="AY8" s="10" t="n"/>
    </row>
    <row r="9" ht="29" customHeight="1" s="24">
      <c r="A9" s="4" t="inlineStr">
        <is>
          <t>Certifications</t>
        </is>
      </c>
      <c r="B9" s="9" t="n"/>
      <c r="C9" s="9" t="n"/>
      <c r="D9" s="9" t="n"/>
      <c r="E9" s="9" t="inlineStr">
        <is>
          <t>Creapure®, Peptan®</t>
        </is>
      </c>
      <c r="F9" s="9" t="inlineStr">
        <is>
          <t>Creapure®, Peptan®</t>
        </is>
      </c>
      <c r="G9" s="10" t="inlineStr">
        <is>
          <t>EN 17444</t>
        </is>
      </c>
      <c r="H9" s="10" t="inlineStr">
        <is>
          <t>EN 17444</t>
        </is>
      </c>
      <c r="I9" s="10" t="inlineStr">
        <is>
          <t>EN 17444</t>
        </is>
      </c>
      <c r="J9" s="10" t="inlineStr">
        <is>
          <t>Certifié, lait Lactalis FR</t>
        </is>
      </c>
      <c r="K9" s="10" t="inlineStr">
        <is>
          <t>Certifié, lait Lactalis FR</t>
        </is>
      </c>
      <c r="L9" s="10" t="inlineStr">
        <is>
          <t>Certifié, lait Lactalis FR</t>
        </is>
      </c>
      <c r="M9" s="10" t="inlineStr">
        <is>
          <t>Certifié, lait Lactalis FR</t>
        </is>
      </c>
      <c r="N9" s="10" t="inlineStr">
        <is>
          <t>Certifié, lait Lactalis FR</t>
        </is>
      </c>
      <c r="O9" s="10" t="inlineStr">
        <is>
          <t>Certifié, lait Lactalis FR</t>
        </is>
      </c>
      <c r="P9" s="10" t="inlineStr">
        <is>
          <t>Certifié, lait Lactalis FR</t>
        </is>
      </c>
      <c r="Q9" s="10" t="inlineStr">
        <is>
          <t>Certifié, lait Lactalis FR</t>
        </is>
      </c>
      <c r="R9" s="10" t="n"/>
      <c r="S9" s="10" t="n"/>
      <c r="T9" s="10" t="inlineStr">
        <is>
          <t>Testée labo indépendant</t>
        </is>
      </c>
      <c r="U9" s="10" t="inlineStr">
        <is>
          <t>Nutricontrole</t>
        </is>
      </c>
      <c r="V9" s="10" t="inlineStr">
        <is>
          <t>Nutricontrole</t>
        </is>
      </c>
      <c r="W9" s="10" t="inlineStr">
        <is>
          <t>Nutricontrole</t>
        </is>
      </c>
      <c r="X9" s="10" t="inlineStr">
        <is>
          <t>Nutricontrole</t>
        </is>
      </c>
      <c r="Y9" s="10" t="inlineStr">
        <is>
          <t>Nutricontrole</t>
        </is>
      </c>
      <c r="Z9" s="10" t="inlineStr">
        <is>
          <t>Nutricontrole</t>
        </is>
      </c>
      <c r="AA9" s="10" t="inlineStr">
        <is>
          <t>Nutricontrole</t>
        </is>
      </c>
      <c r="AB9" s="10" t="inlineStr">
        <is>
          <t>Nutricontrole</t>
        </is>
      </c>
      <c r="AC9" s="10" t="inlineStr">
        <is>
          <t>Marque N°1 en pharmacie</t>
        </is>
      </c>
      <c r="AD9" s="10" t="inlineStr">
        <is>
          <t>Marque N°1 en pharmacie</t>
        </is>
      </c>
      <c r="AE9" s="10" t="inlineStr">
        <is>
          <t>Marque N°1 en pharmacie</t>
        </is>
      </c>
      <c r="AF9" s="10" t="inlineStr">
        <is>
          <t>Marque N°1 en pharmacie</t>
        </is>
      </c>
      <c r="AG9" s="10" t="inlineStr">
        <is>
          <t>Marque N°1 en pharmacie</t>
        </is>
      </c>
      <c r="AH9" s="10" t="inlineStr">
        <is>
          <t>Marque N°1 en pharmacie</t>
        </is>
      </c>
      <c r="AI9" s="10" t="inlineStr">
        <is>
          <t>Informed Sport</t>
        </is>
      </c>
      <c r="AJ9" s="10" t="inlineStr">
        <is>
          <t>Informed Sport</t>
        </is>
      </c>
      <c r="AK9" s="10" t="inlineStr">
        <is>
          <t>Informed Sport</t>
        </is>
      </c>
      <c r="AL9" s="10" t="inlineStr">
        <is>
          <t>Informed Sport</t>
        </is>
      </c>
      <c r="AM9" s="10" t="inlineStr">
        <is>
          <t>Informed Sport</t>
        </is>
      </c>
      <c r="AN9" s="10" t="inlineStr">
        <is>
          <t>Informed Sport</t>
        </is>
      </c>
      <c r="AO9" s="10" t="inlineStr">
        <is>
          <t>Informed Choice</t>
        </is>
      </c>
      <c r="AP9" s="10" t="inlineStr">
        <is>
          <t>Informed Choice</t>
        </is>
      </c>
      <c r="AQ9" s="10" t="inlineStr">
        <is>
          <t>Informed Choice</t>
        </is>
      </c>
      <c r="AR9" s="10" t="inlineStr">
        <is>
          <t>Informed Choice</t>
        </is>
      </c>
      <c r="AS9" s="10" t="inlineStr">
        <is>
          <t>Informed Choice</t>
        </is>
      </c>
      <c r="AT9" s="10" t="inlineStr">
        <is>
          <t>Informed Choice</t>
        </is>
      </c>
      <c r="AU9" s="10" t="n"/>
      <c r="AV9" s="10" t="n"/>
      <c r="AW9" s="10" t="n"/>
      <c r="AX9" s="10" t="n"/>
      <c r="AY9" s="10" t="n"/>
    </row>
    <row r="10">
      <c r="A10" s="4" t="inlineStr">
        <is>
          <t>Native / Fromagère</t>
        </is>
      </c>
      <c r="B10" s="9" t="inlineStr">
        <is>
          <t>native</t>
        </is>
      </c>
      <c r="C10" s="9" t="inlineStr">
        <is>
          <t>native</t>
        </is>
      </c>
      <c r="D10" s="9" t="inlineStr">
        <is>
          <t>native</t>
        </is>
      </c>
      <c r="E10" s="9" t="inlineStr">
        <is>
          <t>fromagere</t>
        </is>
      </c>
      <c r="F10" s="9" t="inlineStr">
        <is>
          <t>fromagere</t>
        </is>
      </c>
      <c r="G10" s="10" t="inlineStr">
        <is>
          <t>native</t>
        </is>
      </c>
      <c r="H10" s="10" t="inlineStr">
        <is>
          <t>native</t>
        </is>
      </c>
      <c r="I10" s="10" t="inlineStr">
        <is>
          <t>native</t>
        </is>
      </c>
      <c r="J10" s="10" t="inlineStr">
        <is>
          <t>native</t>
        </is>
      </c>
      <c r="K10" s="10" t="inlineStr">
        <is>
          <t>native</t>
        </is>
      </c>
      <c r="L10" s="10" t="inlineStr">
        <is>
          <t>native</t>
        </is>
      </c>
      <c r="M10" s="10" t="inlineStr">
        <is>
          <t>native</t>
        </is>
      </c>
      <c r="N10" s="10" t="inlineStr">
        <is>
          <t>native</t>
        </is>
      </c>
      <c r="O10" s="10" t="inlineStr">
        <is>
          <t>native</t>
        </is>
      </c>
      <c r="P10" s="10" t="inlineStr">
        <is>
          <t>native</t>
        </is>
      </c>
      <c r="Q10" s="10" t="inlineStr">
        <is>
          <t>native</t>
        </is>
      </c>
      <c r="R10" s="10" t="inlineStr">
        <is>
          <t>native</t>
        </is>
      </c>
      <c r="S10" s="10" t="inlineStr">
        <is>
          <t>native</t>
        </is>
      </c>
      <c r="T10" s="10" t="inlineStr">
        <is>
          <t>native</t>
        </is>
      </c>
      <c r="U10" s="10" t="inlineStr">
        <is>
          <t>fromagere</t>
        </is>
      </c>
      <c r="V10" s="10" t="inlineStr">
        <is>
          <t>fromagere</t>
        </is>
      </c>
      <c r="W10" s="10" t="inlineStr">
        <is>
          <t>fromagere</t>
        </is>
      </c>
      <c r="X10" s="10" t="inlineStr">
        <is>
          <t>fromagere</t>
        </is>
      </c>
      <c r="Y10" s="10" t="inlineStr">
        <is>
          <t>fromagere</t>
        </is>
      </c>
      <c r="Z10" s="10" t="inlineStr">
        <is>
          <t>fromagere</t>
        </is>
      </c>
      <c r="AA10" s="10" t="inlineStr">
        <is>
          <t>fromagere</t>
        </is>
      </c>
      <c r="AB10" s="10" t="inlineStr">
        <is>
          <t>fromagere</t>
        </is>
      </c>
      <c r="AC10" s="10" t="inlineStr">
        <is>
          <t>fromagere</t>
        </is>
      </c>
      <c r="AD10" s="10" t="inlineStr">
        <is>
          <t>fromagere</t>
        </is>
      </c>
      <c r="AE10" s="10" t="inlineStr">
        <is>
          <t>fromagere</t>
        </is>
      </c>
      <c r="AF10" s="10" t="inlineStr">
        <is>
          <t>fromagere</t>
        </is>
      </c>
      <c r="AG10" s="10" t="inlineStr">
        <is>
          <t>fromagere</t>
        </is>
      </c>
      <c r="AH10" s="10" t="inlineStr">
        <is>
          <t>fromagere</t>
        </is>
      </c>
      <c r="AI10" s="10" t="inlineStr">
        <is>
          <t>fromagere</t>
        </is>
      </c>
      <c r="AJ10" s="10" t="inlineStr">
        <is>
          <t>fromagere</t>
        </is>
      </c>
      <c r="AK10" s="10" t="inlineStr">
        <is>
          <t>fromagere</t>
        </is>
      </c>
      <c r="AL10" s="10" t="inlineStr">
        <is>
          <t>fromagere</t>
        </is>
      </c>
      <c r="AM10" s="10" t="inlineStr">
        <is>
          <t>fromagere</t>
        </is>
      </c>
      <c r="AN10" s="10" t="inlineStr">
        <is>
          <t>fromagere</t>
        </is>
      </c>
      <c r="AO10" s="10" t="inlineStr">
        <is>
          <t>fromagere</t>
        </is>
      </c>
      <c r="AP10" s="10" t="inlineStr">
        <is>
          <t>fromagere</t>
        </is>
      </c>
      <c r="AQ10" s="10" t="inlineStr">
        <is>
          <t>fromagere</t>
        </is>
      </c>
      <c r="AR10" s="10" t="inlineStr">
        <is>
          <t>fromagere</t>
        </is>
      </c>
      <c r="AS10" s="10" t="inlineStr">
        <is>
          <t>fromagere</t>
        </is>
      </c>
      <c r="AT10" s="10" t="inlineStr">
        <is>
          <t>fromagere</t>
        </is>
      </c>
      <c r="AU10" s="10" t="inlineStr">
        <is>
          <t>fromagere</t>
        </is>
      </c>
      <c r="AV10" s="10" t="inlineStr">
        <is>
          <t>fromagere</t>
        </is>
      </c>
      <c r="AW10" s="10" t="inlineStr">
        <is>
          <t>fromagere</t>
        </is>
      </c>
      <c r="AX10" s="10" t="inlineStr">
        <is>
          <t>fromagere</t>
        </is>
      </c>
      <c r="AY10" s="10" t="inlineStr">
        <is>
          <t>fromagere</t>
        </is>
      </c>
    </row>
    <row r="11" ht="15.5" customHeight="1" s="24">
      <c r="A11" s="7" t="inlineStr">
        <is>
          <t>FORMULE &amp; NUTRITION</t>
        </is>
      </c>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c r="AX11" s="8" t="n"/>
      <c r="AY11" s="8" t="n"/>
    </row>
    <row r="12">
      <c r="A12" s="4" t="inlineStr">
        <is>
          <t>% protéines / 100g</t>
        </is>
      </c>
      <c r="B12" s="9" t="n">
        <v>85</v>
      </c>
      <c r="C12" s="9" t="n">
        <v>85</v>
      </c>
      <c r="D12" s="9" t="n">
        <v>85</v>
      </c>
      <c r="E12" s="9" t="n">
        <v>60</v>
      </c>
      <c r="F12" s="9" t="n">
        <v>60</v>
      </c>
      <c r="G12" s="10" t="n">
        <v>94</v>
      </c>
      <c r="H12" s="10" t="n">
        <v>94</v>
      </c>
      <c r="I12" s="10" t="n">
        <v>85</v>
      </c>
      <c r="J12" s="10" t="n">
        <v>87</v>
      </c>
      <c r="K12" s="10" t="n">
        <v>85</v>
      </c>
      <c r="L12" s="10" t="n">
        <v>87</v>
      </c>
      <c r="M12" s="10" t="n">
        <v>87</v>
      </c>
      <c r="N12" s="10" t="n">
        <v>80</v>
      </c>
      <c r="O12" s="10" t="n">
        <v>80</v>
      </c>
      <c r="P12" s="10" t="n">
        <v>80</v>
      </c>
      <c r="Q12" s="10" t="n">
        <v>80</v>
      </c>
      <c r="R12" s="10" t="n">
        <v>94</v>
      </c>
      <c r="S12" s="10" t="n">
        <v>75</v>
      </c>
      <c r="T12" s="10" t="n">
        <v>94</v>
      </c>
      <c r="U12" s="10" t="n">
        <v>83</v>
      </c>
      <c r="V12" s="10" t="n">
        <v>83</v>
      </c>
      <c r="W12" s="10" t="n">
        <v>83</v>
      </c>
      <c r="X12" s="10" t="n">
        <v>73</v>
      </c>
      <c r="Y12" s="10" t="n">
        <v>73</v>
      </c>
      <c r="Z12" s="10" t="n">
        <v>75</v>
      </c>
      <c r="AA12" s="10" t="n">
        <v>81</v>
      </c>
      <c r="AB12" s="10" t="n">
        <v>81</v>
      </c>
      <c r="AC12" s="10" t="n">
        <v>81</v>
      </c>
      <c r="AD12" s="10" t="n">
        <v>79</v>
      </c>
      <c r="AE12" s="10" t="n">
        <v>77</v>
      </c>
      <c r="AF12" s="10" t="n">
        <v>73</v>
      </c>
      <c r="AG12" s="10" t="n">
        <v>77</v>
      </c>
      <c r="AH12" s="10" t="n">
        <v>77</v>
      </c>
      <c r="AI12" s="10" t="n">
        <v>90</v>
      </c>
      <c r="AJ12" s="10" t="n">
        <v>90</v>
      </c>
      <c r="AK12" s="10" t="n">
        <v>82</v>
      </c>
      <c r="AL12" s="10" t="n">
        <v>82</v>
      </c>
      <c r="AM12" s="10" t="n">
        <v>82</v>
      </c>
      <c r="AN12" s="10" t="n">
        <v>72</v>
      </c>
      <c r="AO12" s="10" t="n">
        <v>90</v>
      </c>
      <c r="AP12" s="10" t="n">
        <v>90</v>
      </c>
      <c r="AQ12" s="10" t="n">
        <v>82</v>
      </c>
      <c r="AR12" s="10" t="n">
        <v>82</v>
      </c>
      <c r="AS12" s="10" t="n">
        <v>82</v>
      </c>
      <c r="AT12" s="10" t="n">
        <v>68</v>
      </c>
      <c r="AU12" s="10" t="n">
        <v>84</v>
      </c>
      <c r="AV12" s="10" t="n">
        <v>84</v>
      </c>
      <c r="AW12" s="10" t="n">
        <v>76</v>
      </c>
      <c r="AX12" s="10" t="n">
        <v>76</v>
      </c>
      <c r="AY12" s="10" t="n">
        <v>76</v>
      </c>
    </row>
    <row r="13">
      <c r="A13" s="4" t="inlineStr">
        <is>
          <t>Protéines / portion (g)</t>
        </is>
      </c>
      <c r="B13" s="9" t="n">
        <v>25.5</v>
      </c>
      <c r="C13" s="9" t="n">
        <v>25.5</v>
      </c>
      <c r="D13" s="9" t="n">
        <v>25.5</v>
      </c>
      <c r="E13" s="9" t="n">
        <v>21</v>
      </c>
      <c r="F13" s="9" t="n">
        <v>21</v>
      </c>
      <c r="G13" s="10" t="n">
        <v>25</v>
      </c>
      <c r="H13" s="10" t="n">
        <v>25</v>
      </c>
      <c r="I13" s="10" t="n">
        <v>25</v>
      </c>
      <c r="J13" s="10" t="n">
        <v>25</v>
      </c>
      <c r="K13" s="10" t="n">
        <v>24</v>
      </c>
      <c r="L13" s="10" t="n">
        <v>25</v>
      </c>
      <c r="M13" s="10" t="n">
        <v>25</v>
      </c>
      <c r="N13" s="10" t="n">
        <v>24</v>
      </c>
      <c r="O13" s="10" t="n">
        <v>24</v>
      </c>
      <c r="P13" s="10" t="n">
        <v>24</v>
      </c>
      <c r="Q13" s="10" t="n">
        <v>24</v>
      </c>
      <c r="R13" s="10" t="n">
        <v>28</v>
      </c>
      <c r="S13" s="10" t="n">
        <v>22.1</v>
      </c>
      <c r="T13" s="10" t="n">
        <v>28.2</v>
      </c>
      <c r="U13" s="10" t="n">
        <v>25</v>
      </c>
      <c r="V13" s="10" t="n">
        <v>25</v>
      </c>
      <c r="W13" s="10" t="n">
        <v>25</v>
      </c>
      <c r="X13" s="10" t="n">
        <v>22</v>
      </c>
      <c r="Y13" s="10" t="n">
        <v>22</v>
      </c>
      <c r="Z13" s="10" t="n">
        <v>22.5</v>
      </c>
      <c r="AA13" s="10" t="n">
        <v>24.4</v>
      </c>
      <c r="AB13" s="10" t="n">
        <v>24.4</v>
      </c>
      <c r="AC13" s="10" t="n">
        <v>25</v>
      </c>
      <c r="AD13" s="10" t="n">
        <v>24</v>
      </c>
      <c r="AE13" s="10" t="n">
        <v>31</v>
      </c>
      <c r="AF13" s="10" t="n">
        <v>44</v>
      </c>
      <c r="AG13" s="10" t="n">
        <v>31</v>
      </c>
      <c r="AH13" s="10" t="n">
        <v>31</v>
      </c>
      <c r="AI13" s="10" t="n">
        <v>26</v>
      </c>
      <c r="AJ13" s="10" t="n">
        <v>26</v>
      </c>
      <c r="AK13" s="10" t="n">
        <v>22</v>
      </c>
      <c r="AL13" s="10" t="n">
        <v>22</v>
      </c>
      <c r="AM13" s="10" t="n">
        <v>22</v>
      </c>
      <c r="AN13" s="10" t="n">
        <v>20</v>
      </c>
      <c r="AO13" s="10" t="n">
        <v>25</v>
      </c>
      <c r="AP13" s="10" t="n">
        <v>25</v>
      </c>
      <c r="AQ13" s="10" t="n">
        <v>23</v>
      </c>
      <c r="AR13" s="10" t="n">
        <v>23</v>
      </c>
      <c r="AS13" s="10" t="n">
        <v>23</v>
      </c>
      <c r="AT13" s="10" t="n">
        <v>20</v>
      </c>
      <c r="AU13" s="10" t="n">
        <v>21</v>
      </c>
      <c r="AV13" s="10" t="n">
        <v>21</v>
      </c>
      <c r="AW13" s="10" t="n">
        <v>21</v>
      </c>
      <c r="AX13" s="10" t="n">
        <v>21</v>
      </c>
      <c r="AY13" s="10" t="n">
        <v>21</v>
      </c>
    </row>
    <row r="14">
      <c r="A14" s="4" t="inlineStr">
        <is>
          <t>Taille portion (g)</t>
        </is>
      </c>
      <c r="B14" s="9" t="n">
        <v>30</v>
      </c>
      <c r="C14" s="9" t="n">
        <v>30</v>
      </c>
      <c r="D14" s="9" t="n">
        <v>30</v>
      </c>
      <c r="E14" s="9" t="n">
        <v>35</v>
      </c>
      <c r="F14" s="9" t="n">
        <v>35</v>
      </c>
      <c r="G14" s="10" t="n">
        <v>30</v>
      </c>
      <c r="H14" s="10" t="n">
        <v>30</v>
      </c>
      <c r="I14" s="10" t="n">
        <v>30</v>
      </c>
      <c r="J14" s="10" t="n">
        <v>30</v>
      </c>
      <c r="K14" s="10" t="n">
        <v>30</v>
      </c>
      <c r="L14" s="10" t="n">
        <v>30</v>
      </c>
      <c r="M14" s="10" t="n">
        <v>30</v>
      </c>
      <c r="N14" s="10" t="n">
        <v>30</v>
      </c>
      <c r="O14" s="10" t="n">
        <v>30</v>
      </c>
      <c r="P14" s="10" t="n">
        <v>30</v>
      </c>
      <c r="Q14" s="10" t="n">
        <v>30</v>
      </c>
      <c r="R14" s="10" t="n">
        <v>30</v>
      </c>
      <c r="S14" s="10" t="n">
        <v>30</v>
      </c>
      <c r="T14" s="10" t="n">
        <v>30</v>
      </c>
      <c r="U14" s="10" t="n">
        <v>30</v>
      </c>
      <c r="V14" s="10" t="n">
        <v>30</v>
      </c>
      <c r="W14" s="10" t="n">
        <v>30</v>
      </c>
      <c r="X14" s="10" t="n">
        <v>30</v>
      </c>
      <c r="Y14" s="10" t="n">
        <v>30</v>
      </c>
      <c r="Z14" s="10" t="n">
        <v>30</v>
      </c>
      <c r="AA14" s="10" t="n">
        <v>30</v>
      </c>
      <c r="AB14" s="10" t="n">
        <v>30</v>
      </c>
      <c r="AC14" s="10" t="n">
        <v>30</v>
      </c>
      <c r="AD14" s="10" t="n">
        <v>30</v>
      </c>
      <c r="AE14" s="10" t="n">
        <v>40</v>
      </c>
      <c r="AF14" s="10" t="n">
        <v>60</v>
      </c>
      <c r="AG14" s="10" t="n">
        <v>40</v>
      </c>
      <c r="AH14" s="10" t="n">
        <v>40</v>
      </c>
      <c r="AI14" s="10" t="n">
        <v>30</v>
      </c>
      <c r="AJ14" s="10" t="n">
        <v>30</v>
      </c>
      <c r="AK14" s="10" t="n">
        <v>30</v>
      </c>
      <c r="AL14" s="10" t="n">
        <v>30</v>
      </c>
      <c r="AM14" s="10" t="n">
        <v>30</v>
      </c>
      <c r="AN14" s="10" t="n">
        <v>30</v>
      </c>
      <c r="AO14" s="10" t="n">
        <v>25</v>
      </c>
      <c r="AP14" s="10" t="n">
        <v>25</v>
      </c>
      <c r="AQ14" s="10" t="n">
        <v>25</v>
      </c>
      <c r="AR14" s="10" t="n">
        <v>25</v>
      </c>
      <c r="AS14" s="10" t="n">
        <v>25</v>
      </c>
      <c r="AT14" s="10" t="n">
        <v>25</v>
      </c>
      <c r="AU14" s="10" t="n">
        <v>25</v>
      </c>
      <c r="AV14" s="10" t="n">
        <v>25</v>
      </c>
      <c r="AW14" s="10" t="n">
        <v>30</v>
      </c>
      <c r="AX14" s="10" t="n">
        <v>30</v>
      </c>
      <c r="AY14" s="10" t="n">
        <v>30</v>
      </c>
    </row>
    <row r="15">
      <c r="A15" s="4" t="inlineStr">
        <is>
          <t>Nb portions / format</t>
        </is>
      </c>
      <c r="B15" s="9" t="n">
        <v>25</v>
      </c>
      <c r="C15" s="9" t="n">
        <v>25</v>
      </c>
      <c r="D15" s="9" t="n">
        <v>25</v>
      </c>
      <c r="E15" s="9" t="n">
        <v>15</v>
      </c>
      <c r="F15" s="9" t="n">
        <v>15</v>
      </c>
      <c r="G15" s="10" t="n">
        <v>25</v>
      </c>
      <c r="H15" s="10" t="n">
        <v>66</v>
      </c>
      <c r="I15" s="10" t="n">
        <v>133</v>
      </c>
      <c r="J15" s="10" t="n">
        <v>16</v>
      </c>
      <c r="K15" s="10" t="n">
        <v>33</v>
      </c>
      <c r="L15" s="10" t="n">
        <v>75</v>
      </c>
      <c r="M15" s="10" t="n">
        <v>133</v>
      </c>
      <c r="N15" s="10" t="n">
        <v>16</v>
      </c>
      <c r="O15" s="10" t="n">
        <v>33</v>
      </c>
      <c r="P15" s="10" t="n">
        <v>75</v>
      </c>
      <c r="Q15" s="10" t="n">
        <v>133</v>
      </c>
      <c r="R15" s="10" t="n">
        <v>30</v>
      </c>
      <c r="S15" s="10" t="n">
        <v>30</v>
      </c>
      <c r="T15" s="10" t="n">
        <v>27</v>
      </c>
      <c r="U15" s="10" t="n">
        <v>16</v>
      </c>
      <c r="V15" s="10" t="n">
        <v>50</v>
      </c>
      <c r="W15" s="10" t="n">
        <v>66</v>
      </c>
      <c r="X15" s="10" t="n">
        <v>16</v>
      </c>
      <c r="Y15" s="10" t="n">
        <v>50</v>
      </c>
      <c r="Z15" s="10" t="n">
        <v>66</v>
      </c>
      <c r="AA15" s="10" t="n">
        <v>25</v>
      </c>
      <c r="AB15" s="10" t="n">
        <v>66</v>
      </c>
      <c r="AC15" s="10" t="n">
        <v>25</v>
      </c>
      <c r="AD15" s="10" t="n">
        <v>25</v>
      </c>
      <c r="AE15" s="10" t="n">
        <v>19</v>
      </c>
      <c r="AF15" s="10" t="n">
        <v>12</v>
      </c>
      <c r="AG15" s="10" t="n">
        <v>21</v>
      </c>
      <c r="AH15" s="10" t="n">
        <v>55</v>
      </c>
      <c r="AI15" s="10" t="n">
        <v>33</v>
      </c>
      <c r="AJ15" s="10" t="n">
        <v>83</v>
      </c>
      <c r="AK15" s="10" t="n">
        <v>33</v>
      </c>
      <c r="AL15" s="10" t="n">
        <v>83</v>
      </c>
      <c r="AM15" s="10" t="n">
        <v>166</v>
      </c>
      <c r="AN15" s="10" t="n">
        <v>16</v>
      </c>
      <c r="AO15" s="10" t="n">
        <v>40</v>
      </c>
      <c r="AP15" s="10" t="n">
        <v>100</v>
      </c>
      <c r="AQ15" s="10" t="n">
        <v>40</v>
      </c>
      <c r="AR15" s="10" t="n">
        <v>100</v>
      </c>
      <c r="AS15" s="10" t="n">
        <v>200</v>
      </c>
      <c r="AT15" s="10" t="n">
        <v>35</v>
      </c>
      <c r="AU15" s="10" t="n">
        <v>36</v>
      </c>
      <c r="AV15" s="10" t="n">
        <v>72</v>
      </c>
      <c r="AW15" s="10" t="n">
        <v>13</v>
      </c>
      <c r="AX15" s="10" t="n">
        <v>33</v>
      </c>
      <c r="AY15" s="10" t="n">
        <v>66</v>
      </c>
    </row>
    <row r="16">
      <c r="A16" s="4" t="inlineStr">
        <is>
          <t>BCAA / portion (g)</t>
        </is>
      </c>
      <c r="B16" s="9" t="n">
        <v>5.3</v>
      </c>
      <c r="C16" s="9" t="n">
        <v>5.3</v>
      </c>
      <c r="D16" s="9" t="n">
        <v>5.3</v>
      </c>
      <c r="E16" s="9" t="n"/>
      <c r="F16" s="9" t="n"/>
      <c r="G16" s="10" t="n">
        <v>5</v>
      </c>
      <c r="H16" s="10" t="n">
        <v>5</v>
      </c>
      <c r="I16" s="10" t="n">
        <v>5</v>
      </c>
      <c r="J16" s="10" t="n">
        <v>6</v>
      </c>
      <c r="K16" s="10" t="n">
        <v>6</v>
      </c>
      <c r="L16" s="10" t="n">
        <v>6</v>
      </c>
      <c r="M16" s="10" t="n">
        <v>6</v>
      </c>
      <c r="N16" s="10" t="n">
        <v>5</v>
      </c>
      <c r="O16" s="10" t="n">
        <v>5</v>
      </c>
      <c r="P16" s="10" t="n">
        <v>5</v>
      </c>
      <c r="Q16" s="10" t="n">
        <v>5</v>
      </c>
      <c r="R16" s="10" t="n">
        <v>6.9</v>
      </c>
      <c r="S16" s="10" t="n">
        <v>5.1</v>
      </c>
      <c r="T16" s="10" t="n">
        <v>6.6</v>
      </c>
      <c r="U16" s="10" t="n">
        <v>5.66</v>
      </c>
      <c r="V16" s="10" t="n">
        <v>5.66</v>
      </c>
      <c r="W16" s="10" t="n">
        <v>5.66</v>
      </c>
      <c r="X16" s="10" t="n">
        <v>3.74</v>
      </c>
      <c r="Y16" s="10" t="n">
        <v>3.74</v>
      </c>
      <c r="Z16" s="10" t="n"/>
      <c r="AA16" s="10" t="n">
        <v>4.1</v>
      </c>
      <c r="AB16" s="10" t="n">
        <v>4.1</v>
      </c>
      <c r="AC16" s="10" t="n">
        <v>5.5</v>
      </c>
      <c r="AD16" s="10" t="n">
        <v>5.2</v>
      </c>
      <c r="AE16" s="10" t="n">
        <v>7</v>
      </c>
      <c r="AF16" s="10" t="n">
        <v>10</v>
      </c>
      <c r="AG16" s="10" t="n">
        <v>7</v>
      </c>
      <c r="AH16" s="10" t="n">
        <v>7</v>
      </c>
      <c r="AI16" s="10" t="n">
        <v>5.5</v>
      </c>
      <c r="AJ16" s="10" t="n">
        <v>5.5</v>
      </c>
      <c r="AK16" s="10" t="n">
        <v>5</v>
      </c>
      <c r="AL16" s="10" t="n">
        <v>5</v>
      </c>
      <c r="AM16" s="10" t="n">
        <v>5</v>
      </c>
      <c r="AN16" s="10" t="n">
        <v>4</v>
      </c>
      <c r="AO16" s="10" t="n">
        <v>5.5</v>
      </c>
      <c r="AP16" s="10" t="n">
        <v>5.5</v>
      </c>
      <c r="AQ16" s="10" t="n">
        <v>4.5</v>
      </c>
      <c r="AR16" s="10" t="n">
        <v>4.5</v>
      </c>
      <c r="AS16" s="10" t="n">
        <v>4.5</v>
      </c>
      <c r="AT16" s="10" t="n">
        <v>4</v>
      </c>
      <c r="AU16" s="10" t="n">
        <v>4.35</v>
      </c>
      <c r="AV16" s="10" t="n">
        <v>4.35</v>
      </c>
      <c r="AW16" s="10" t="n"/>
      <c r="AX16" s="10" t="n"/>
      <c r="AY16" s="10" t="n"/>
    </row>
    <row r="17">
      <c r="A17" s="4" t="inlineStr">
        <is>
          <t>Glucides / portion (g)</t>
        </is>
      </c>
      <c r="B17" s="9" t="n">
        <v>1</v>
      </c>
      <c r="C17" s="9" t="n">
        <v>1</v>
      </c>
      <c r="D17" s="9" t="n">
        <v>1</v>
      </c>
      <c r="E17" s="9" t="n"/>
      <c r="F17" s="9" t="n"/>
      <c r="G17" s="10" t="n">
        <v>0.3</v>
      </c>
      <c r="H17" s="10" t="n">
        <v>0.3</v>
      </c>
      <c r="I17" s="10" t="n">
        <v>0.3</v>
      </c>
      <c r="J17" s="10" t="n">
        <v>1.5</v>
      </c>
      <c r="K17" s="10" t="n">
        <v>1.5</v>
      </c>
      <c r="L17" s="10" t="n">
        <v>1.5</v>
      </c>
      <c r="M17" s="10" t="n">
        <v>1.5</v>
      </c>
      <c r="N17" s="10" t="n">
        <v>3.5</v>
      </c>
      <c r="O17" s="10" t="n">
        <v>3.5</v>
      </c>
      <c r="P17" s="10" t="n">
        <v>3.5</v>
      </c>
      <c r="Q17" s="10" t="n">
        <v>3.5</v>
      </c>
      <c r="R17" s="10" t="n">
        <v>0.9</v>
      </c>
      <c r="S17" s="10" t="n">
        <v>4</v>
      </c>
      <c r="T17" s="10" t="n">
        <v>0.5</v>
      </c>
      <c r="U17" s="10" t="n">
        <v>0.5</v>
      </c>
      <c r="V17" s="10" t="n">
        <v>0.5</v>
      </c>
      <c r="W17" s="10" t="n">
        <v>0.5</v>
      </c>
      <c r="X17" s="10" t="n"/>
      <c r="Y17" s="10" t="n"/>
      <c r="Z17" s="10" t="n">
        <v>3</v>
      </c>
      <c r="AA17" s="10" t="n">
        <v>1.4</v>
      </c>
      <c r="AB17" s="10" t="n">
        <v>1.4</v>
      </c>
      <c r="AC17" s="10" t="n">
        <v>1.4</v>
      </c>
      <c r="AD17" s="10" t="n">
        <v>0.5</v>
      </c>
      <c r="AE17" s="10" t="n">
        <v>4</v>
      </c>
      <c r="AF17" s="10" t="n">
        <v>4.3</v>
      </c>
      <c r="AG17" s="10" t="n">
        <v>4</v>
      </c>
      <c r="AH17" s="10" t="n">
        <v>4</v>
      </c>
      <c r="AI17" s="10" t="n">
        <v>1.5</v>
      </c>
      <c r="AJ17" s="10" t="n">
        <v>1.5</v>
      </c>
      <c r="AK17" s="10" t="n">
        <v>2</v>
      </c>
      <c r="AL17" s="10" t="n">
        <v>2</v>
      </c>
      <c r="AM17" s="10" t="n">
        <v>2</v>
      </c>
      <c r="AN17" s="10" t="n">
        <v>0.5</v>
      </c>
      <c r="AO17" s="10" t="n">
        <v>1</v>
      </c>
      <c r="AP17" s="10" t="n">
        <v>1</v>
      </c>
      <c r="AQ17" s="10" t="n">
        <v>2</v>
      </c>
      <c r="AR17" s="10" t="n">
        <v>2</v>
      </c>
      <c r="AS17" s="10" t="n">
        <v>2</v>
      </c>
      <c r="AT17" s="10" t="n">
        <v>0.5</v>
      </c>
      <c r="AU17" s="10" t="n">
        <v>0.6</v>
      </c>
      <c r="AV17" s="10" t="n">
        <v>0.6</v>
      </c>
      <c r="AW17" s="10" t="n">
        <v>1.4</v>
      </c>
      <c r="AX17" s="10" t="n">
        <v>1.4</v>
      </c>
      <c r="AY17" s="10" t="n">
        <v>1.4</v>
      </c>
    </row>
    <row r="18">
      <c r="A18" s="4" t="inlineStr">
        <is>
          <t>Lipides / portion (g)</t>
        </is>
      </c>
      <c r="B18" s="9" t="n">
        <v>0.5</v>
      </c>
      <c r="C18" s="9" t="n">
        <v>0.5</v>
      </c>
      <c r="D18" s="9" t="n">
        <v>0.5</v>
      </c>
      <c r="E18" s="9" t="n"/>
      <c r="F18" s="9" t="n"/>
      <c r="G18" s="10" t="n">
        <v>0.2</v>
      </c>
      <c r="H18" s="10" t="n">
        <v>0.2</v>
      </c>
      <c r="I18" s="10" t="n">
        <v>0.2</v>
      </c>
      <c r="J18" s="10" t="n">
        <v>0.8</v>
      </c>
      <c r="K18" s="10" t="n">
        <v>0.8</v>
      </c>
      <c r="L18" s="10" t="n">
        <v>0.8</v>
      </c>
      <c r="M18" s="10" t="n">
        <v>0.8</v>
      </c>
      <c r="N18" s="10" t="n">
        <v>1.5</v>
      </c>
      <c r="O18" s="10" t="n">
        <v>1.5</v>
      </c>
      <c r="P18" s="10" t="n">
        <v>1.5</v>
      </c>
      <c r="Q18" s="10" t="n">
        <v>1.5</v>
      </c>
      <c r="R18" s="10" t="n">
        <v>0.6</v>
      </c>
      <c r="S18" s="10" t="n">
        <v>0.4</v>
      </c>
      <c r="T18" s="10" t="n">
        <v>0.4</v>
      </c>
      <c r="U18" s="10" t="n">
        <v>0.4</v>
      </c>
      <c r="V18" s="10" t="n">
        <v>0.4</v>
      </c>
      <c r="W18" s="10" t="n">
        <v>0.4</v>
      </c>
      <c r="X18" s="10" t="n"/>
      <c r="Y18" s="10" t="n"/>
      <c r="Z18" s="10" t="n">
        <v>1.4</v>
      </c>
      <c r="AA18" s="10" t="n">
        <v>1.6</v>
      </c>
      <c r="AB18" s="10" t="n">
        <v>1.6</v>
      </c>
      <c r="AC18" s="10" t="n">
        <v>0.5</v>
      </c>
      <c r="AD18" s="10" t="n">
        <v>0.3</v>
      </c>
      <c r="AE18" s="10" t="n">
        <v>1.7</v>
      </c>
      <c r="AF18" s="10" t="n">
        <v>2</v>
      </c>
      <c r="AG18" s="10" t="n">
        <v>1.7</v>
      </c>
      <c r="AH18" s="10" t="n">
        <v>1.7</v>
      </c>
      <c r="AI18" s="10" t="n">
        <v>0.5</v>
      </c>
      <c r="AJ18" s="10" t="n">
        <v>0.5</v>
      </c>
      <c r="AK18" s="10" t="n">
        <v>1</v>
      </c>
      <c r="AL18" s="10" t="n">
        <v>1</v>
      </c>
      <c r="AM18" s="10" t="n">
        <v>1</v>
      </c>
      <c r="AN18" s="10" t="n">
        <v>0.1</v>
      </c>
      <c r="AO18" s="10" t="n">
        <v>0.5</v>
      </c>
      <c r="AP18" s="10" t="n">
        <v>0.5</v>
      </c>
      <c r="AQ18" s="10" t="n">
        <v>1</v>
      </c>
      <c r="AR18" s="10" t="n">
        <v>1</v>
      </c>
      <c r="AS18" s="10" t="n">
        <v>1</v>
      </c>
      <c r="AT18" s="10" t="n">
        <v>0.1</v>
      </c>
      <c r="AU18" s="10" t="n">
        <v>0.4</v>
      </c>
      <c r="AV18" s="10" t="n">
        <v>0.4</v>
      </c>
      <c r="AW18" s="10" t="n">
        <v>1.8</v>
      </c>
      <c r="AX18" s="10" t="n">
        <v>1.8</v>
      </c>
      <c r="AY18" s="10" t="n">
        <v>1.8</v>
      </c>
    </row>
    <row r="19">
      <c r="A19" s="4" t="inlineStr">
        <is>
          <t>Lactose</t>
        </is>
      </c>
      <c r="B19" s="9" t="inlineStr">
        <is>
          <t>faible</t>
        </is>
      </c>
      <c r="C19" s="9" t="inlineStr">
        <is>
          <t>faible</t>
        </is>
      </c>
      <c r="D19" s="9" t="inlineStr">
        <is>
          <t>faible</t>
        </is>
      </c>
      <c r="E19" s="9" t="inlineStr">
        <is>
          <t>present</t>
        </is>
      </c>
      <c r="F19" s="9" t="inlineStr">
        <is>
          <t>present</t>
        </is>
      </c>
      <c r="G19" s="10" t="inlineStr">
        <is>
          <t>tres_faible</t>
        </is>
      </c>
      <c r="H19" s="10" t="inlineStr">
        <is>
          <t>tres_faible</t>
        </is>
      </c>
      <c r="I19" s="10" t="inlineStr">
        <is>
          <t>tres_faible</t>
        </is>
      </c>
      <c r="J19" s="10" t="inlineStr">
        <is>
          <t>faible</t>
        </is>
      </c>
      <c r="K19" s="10" t="inlineStr">
        <is>
          <t>faible</t>
        </is>
      </c>
      <c r="L19" s="10" t="inlineStr">
        <is>
          <t>faible</t>
        </is>
      </c>
      <c r="M19" s="10" t="inlineStr">
        <is>
          <t>faible</t>
        </is>
      </c>
      <c r="N19" s="10" t="inlineStr">
        <is>
          <t>present</t>
        </is>
      </c>
      <c r="O19" s="10" t="inlineStr">
        <is>
          <t>present</t>
        </is>
      </c>
      <c r="P19" s="10" t="inlineStr">
        <is>
          <t>present</t>
        </is>
      </c>
      <c r="Q19" s="10" t="inlineStr">
        <is>
          <t>present</t>
        </is>
      </c>
      <c r="R19" s="10" t="inlineStr">
        <is>
          <t>tres_faible</t>
        </is>
      </c>
      <c r="S19" s="10" t="inlineStr">
        <is>
          <t>faible</t>
        </is>
      </c>
      <c r="T19" s="10" t="inlineStr">
        <is>
          <t>faible</t>
        </is>
      </c>
      <c r="U19" s="10" t="inlineStr">
        <is>
          <t>tres_faible</t>
        </is>
      </c>
      <c r="V19" s="10" t="inlineStr">
        <is>
          <t>tres_faible</t>
        </is>
      </c>
      <c r="W19" s="10" t="inlineStr">
        <is>
          <t>tres_faible</t>
        </is>
      </c>
      <c r="X19" s="10" t="n"/>
      <c r="Y19" s="10" t="n"/>
      <c r="Z19" s="10" t="n"/>
      <c r="AA19" s="10" t="inlineStr">
        <is>
          <t>faible</t>
        </is>
      </c>
      <c r="AB19" s="10" t="inlineStr">
        <is>
          <t>faible</t>
        </is>
      </c>
      <c r="AC19" s="10" t="inlineStr">
        <is>
          <t>tres_faible</t>
        </is>
      </c>
      <c r="AD19" s="10" t="inlineStr">
        <is>
          <t>tres_faible</t>
        </is>
      </c>
      <c r="AE19" s="10" t="n"/>
      <c r="AF19" s="10" t="inlineStr">
        <is>
          <t>present</t>
        </is>
      </c>
      <c r="AG19" s="10" t="n"/>
      <c r="AH19" s="10" t="n"/>
      <c r="AI19" s="10" t="inlineStr">
        <is>
          <t>faible</t>
        </is>
      </c>
      <c r="AJ19" s="10" t="inlineStr">
        <is>
          <t>faible</t>
        </is>
      </c>
      <c r="AK19" s="10" t="inlineStr">
        <is>
          <t>present</t>
        </is>
      </c>
      <c r="AL19" s="10" t="inlineStr">
        <is>
          <t>present</t>
        </is>
      </c>
      <c r="AM19" s="10" t="inlineStr">
        <is>
          <t>present</t>
        </is>
      </c>
      <c r="AN19" s="10" t="inlineStr">
        <is>
          <t>tres_faible</t>
        </is>
      </c>
      <c r="AO19" s="10" t="inlineStr">
        <is>
          <t>faible</t>
        </is>
      </c>
      <c r="AP19" s="10" t="inlineStr">
        <is>
          <t>faible</t>
        </is>
      </c>
      <c r="AQ19" s="10" t="inlineStr">
        <is>
          <t>present</t>
        </is>
      </c>
      <c r="AR19" s="10" t="inlineStr">
        <is>
          <t>present</t>
        </is>
      </c>
      <c r="AS19" s="10" t="inlineStr">
        <is>
          <t>present</t>
        </is>
      </c>
      <c r="AT19" s="10" t="inlineStr">
        <is>
          <t>tres_faible</t>
        </is>
      </c>
      <c r="AU19" s="10" t="inlineStr">
        <is>
          <t>tres_faible</t>
        </is>
      </c>
      <c r="AV19" s="10" t="inlineStr">
        <is>
          <t>tres_faible</t>
        </is>
      </c>
      <c r="AW19" s="10" t="n"/>
      <c r="AX19" s="10" t="n"/>
      <c r="AY19" s="10" t="n"/>
    </row>
    <row r="20" ht="15.5" customHeight="1" s="24">
      <c r="A20" s="7" t="inlineStr">
        <is>
          <t>PRIX — 3 COUCHES (nominal / current / marché médian)</t>
        </is>
      </c>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AX20" s="8" t="n"/>
      <c r="AY20" s="8" t="n"/>
    </row>
    <row r="21">
      <c r="A21" s="4" t="inlineStr">
        <is>
          <t>Prix nominal (site propre, barré)</t>
        </is>
      </c>
      <c r="B21" s="9" t="n">
        <v>39.9</v>
      </c>
      <c r="C21" s="9" t="n">
        <v>39.9</v>
      </c>
      <c r="D21" s="9" t="n">
        <v>37.9</v>
      </c>
      <c r="E21" s="9" t="n">
        <v>39.9</v>
      </c>
      <c r="F21" s="9" t="n">
        <v>39.9</v>
      </c>
      <c r="G21" s="10" t="n">
        <v>39.9</v>
      </c>
      <c r="H21" s="10" t="n">
        <v>104.9</v>
      </c>
      <c r="I21" s="10" t="n">
        <v>179.9</v>
      </c>
      <c r="J21" s="10" t="n">
        <v>31.95</v>
      </c>
      <c r="K21" s="10" t="n">
        <v>57.95</v>
      </c>
      <c r="L21" s="10" t="n">
        <v>116.95</v>
      </c>
      <c r="M21" s="10" t="n">
        <v>190.95</v>
      </c>
      <c r="N21" s="10" t="n">
        <v>19.95</v>
      </c>
      <c r="O21" s="10" t="n">
        <v>37.95</v>
      </c>
      <c r="P21" s="10" t="n">
        <v>80.95</v>
      </c>
      <c r="Q21" s="10" t="n">
        <v>131.95</v>
      </c>
      <c r="R21" s="10" t="n">
        <v>54.9</v>
      </c>
      <c r="S21" s="10" t="n">
        <v>39.9</v>
      </c>
      <c r="T21" s="10" t="n">
        <v>45.95</v>
      </c>
      <c r="U21" s="10" t="n">
        <v>33.9</v>
      </c>
      <c r="V21" s="10" t="n">
        <v>79.90000000000001</v>
      </c>
      <c r="W21" s="10" t="n">
        <v>94.90000000000001</v>
      </c>
      <c r="X21" s="10" t="n">
        <v>29.9</v>
      </c>
      <c r="Y21" s="10" t="n">
        <v>59.9</v>
      </c>
      <c r="Z21" s="10" t="n">
        <v>82.90000000000001</v>
      </c>
      <c r="AA21" s="10" t="n">
        <v>41.9</v>
      </c>
      <c r="AB21" s="10" t="n">
        <v>65.90000000000001</v>
      </c>
      <c r="AC21" s="10" t="n">
        <v>45.9</v>
      </c>
      <c r="AD21" s="10" t="n">
        <v>45.9</v>
      </c>
      <c r="AE21" s="10" t="n">
        <v>34.9</v>
      </c>
      <c r="AF21" s="10" t="n">
        <v>39.99</v>
      </c>
      <c r="AG21" s="10" t="n">
        <v>38.9</v>
      </c>
      <c r="AH21" s="10" t="n">
        <v>80.98999999999999</v>
      </c>
      <c r="AI21" s="10" t="n">
        <v>69.98999999999999</v>
      </c>
      <c r="AJ21" s="10" t="n">
        <v>159.99</v>
      </c>
      <c r="AK21" s="10" t="n">
        <v>37.99</v>
      </c>
      <c r="AL21" s="10" t="n">
        <v>84.98999999999999</v>
      </c>
      <c r="AM21" s="10" t="n">
        <v>159.99</v>
      </c>
      <c r="AN21" s="10" t="n">
        <v>31.49</v>
      </c>
      <c r="AO21" s="10" t="n">
        <v>57.99</v>
      </c>
      <c r="AP21" s="10" t="n">
        <v>124.99</v>
      </c>
      <c r="AQ21" s="10" t="n">
        <v>41.99</v>
      </c>
      <c r="AR21" s="10" t="n">
        <v>84.98999999999999</v>
      </c>
      <c r="AS21" s="10" t="n">
        <v>188.99</v>
      </c>
      <c r="AT21" s="10" t="n">
        <v>49.99</v>
      </c>
      <c r="AU21" s="10" t="n">
        <v>69.90000000000001</v>
      </c>
      <c r="AV21" s="10" t="n">
        <v>104.9</v>
      </c>
      <c r="AW21" s="10" t="n">
        <v>32.9</v>
      </c>
      <c r="AX21" s="10" t="n">
        <v>54.9</v>
      </c>
      <c r="AY21" s="10" t="n">
        <v>89.90000000000001</v>
      </c>
    </row>
    <row r="22">
      <c r="A22" s="4" t="inlineStr">
        <is>
          <t>Prix actuel (site propre, affiché)</t>
        </is>
      </c>
      <c r="B22" s="9" t="n">
        <v>39.9</v>
      </c>
      <c r="C22" s="9" t="n">
        <v>39.9</v>
      </c>
      <c r="D22" s="9" t="n">
        <v>37.9</v>
      </c>
      <c r="E22" s="9" t="n">
        <v>39.9</v>
      </c>
      <c r="F22" s="9" t="n">
        <v>39.9</v>
      </c>
      <c r="G22" s="10" t="n">
        <v>39.9</v>
      </c>
      <c r="H22" s="10" t="n">
        <v>104.9</v>
      </c>
      <c r="I22" s="10" t="n">
        <v>179.9</v>
      </c>
      <c r="J22" s="10" t="n">
        <v>31.95</v>
      </c>
      <c r="K22" s="10" t="n">
        <v>57.95</v>
      </c>
      <c r="L22" s="10" t="n">
        <v>116.95</v>
      </c>
      <c r="M22" s="10" t="n">
        <v>190.95</v>
      </c>
      <c r="N22" s="10" t="n">
        <v>19.95</v>
      </c>
      <c r="O22" s="10" t="n">
        <v>37.95</v>
      </c>
      <c r="P22" s="10" t="n">
        <v>80.95</v>
      </c>
      <c r="Q22" s="10" t="n">
        <v>131.95</v>
      </c>
      <c r="R22" s="10" t="n">
        <v>54.9</v>
      </c>
      <c r="S22" s="10" t="n">
        <v>39.9</v>
      </c>
      <c r="T22" s="10" t="n">
        <v>45.95</v>
      </c>
      <c r="U22" s="10" t="n">
        <v>33.9</v>
      </c>
      <c r="V22" s="10" t="n">
        <v>79.90000000000001</v>
      </c>
      <c r="W22" s="10" t="n">
        <v>94.90000000000001</v>
      </c>
      <c r="X22" s="10" t="n">
        <v>29.9</v>
      </c>
      <c r="Y22" s="10" t="n">
        <v>59.9</v>
      </c>
      <c r="Z22" s="10" t="n">
        <v>82.90000000000001</v>
      </c>
      <c r="AA22" s="10" t="n">
        <v>41.9</v>
      </c>
      <c r="AB22" s="10" t="n">
        <v>65.90000000000001</v>
      </c>
      <c r="AC22" s="10" t="n">
        <v>45.9</v>
      </c>
      <c r="AD22" s="10" t="n">
        <v>45.9</v>
      </c>
      <c r="AE22" s="10" t="n">
        <v>34.9</v>
      </c>
      <c r="AF22" s="10" t="n">
        <v>39.99</v>
      </c>
      <c r="AG22" s="10" t="n">
        <v>38.9</v>
      </c>
      <c r="AH22" s="10" t="n">
        <v>80.98999999999999</v>
      </c>
      <c r="AI22" s="10" t="n">
        <v>44.99</v>
      </c>
      <c r="AJ22" s="10" t="n">
        <v>99.98999999999999</v>
      </c>
      <c r="AK22" s="10" t="n">
        <v>27.99</v>
      </c>
      <c r="AL22" s="10" t="n">
        <v>64.98999999999999</v>
      </c>
      <c r="AM22" s="10" t="n">
        <v>129.99</v>
      </c>
      <c r="AN22" s="10" t="n">
        <v>25.99</v>
      </c>
      <c r="AO22" s="10" t="n">
        <v>57.99</v>
      </c>
      <c r="AP22" s="10" t="n">
        <v>124.99</v>
      </c>
      <c r="AQ22" s="10" t="n">
        <v>17.99</v>
      </c>
      <c r="AR22" s="10" t="n">
        <v>40.99</v>
      </c>
      <c r="AS22" s="10" t="n">
        <v>91.09999999999999</v>
      </c>
      <c r="AT22" s="10" t="n">
        <v>49.99</v>
      </c>
      <c r="AU22" s="10" t="n">
        <v>69.90000000000001</v>
      </c>
      <c r="AV22" s="10" t="n">
        <v>104.9</v>
      </c>
      <c r="AW22" s="10" t="n">
        <v>32.9</v>
      </c>
      <c r="AX22" s="10" t="n">
        <v>54.9</v>
      </c>
      <c r="AY22" s="10" t="n">
        <v>89.90000000000001</v>
      </c>
    </row>
    <row r="23">
      <c r="A23" s="4" t="inlineStr">
        <is>
          <t>Prix médian marché (idealo/ledenicheur)</t>
        </is>
      </c>
      <c r="B23" s="9" t="n"/>
      <c r="C23" s="9" t="n"/>
      <c r="D23" s="9" t="n"/>
      <c r="E23" s="9" t="n"/>
      <c r="F23" s="9"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v>23.99</v>
      </c>
      <c r="AL23" s="10" t="n"/>
      <c r="AM23" s="10" t="n"/>
      <c r="AN23" s="10" t="n">
        <v>22.25</v>
      </c>
      <c r="AO23" s="10" t="n">
        <v>56.4</v>
      </c>
      <c r="AP23" s="10" t="n"/>
      <c r="AQ23" s="10" t="n">
        <v>34.99</v>
      </c>
      <c r="AR23" s="10" t="n">
        <v>56.4</v>
      </c>
      <c r="AS23" s="10" t="n">
        <v>188.99</v>
      </c>
      <c r="AT23" s="10" t="n"/>
      <c r="AU23" s="10" t="n"/>
      <c r="AV23" s="10" t="n"/>
      <c r="AW23" s="10" t="n"/>
      <c r="AX23" s="10" t="n">
        <v>27.02</v>
      </c>
      <c r="AY23" s="10" t="n"/>
    </row>
    <row r="24">
      <c r="A24" s="4" t="inlineStr">
        <is>
          <t>Écart nominal → actuel (%)</t>
        </is>
      </c>
      <c r="B24" s="11">
        <f>IFERROR((B21-B22)/B21*100,"")</f>
        <v/>
      </c>
      <c r="C24" s="11">
        <f>IFERROR((C21-C22)/C21*100,"")</f>
        <v/>
      </c>
      <c r="D24" s="11">
        <f>IFERROR((D21-D22)/D21*100,"")</f>
        <v/>
      </c>
      <c r="E24" s="11">
        <f>IFERROR((E21-E22)/E21*100,"")</f>
        <v/>
      </c>
      <c r="F24" s="11">
        <f>IFERROR((F21-F22)/F21*100,"")</f>
        <v/>
      </c>
      <c r="G24" s="12">
        <f>IFERROR((G21-G22)/G21*100,"")</f>
        <v/>
      </c>
      <c r="H24" s="12">
        <f>IFERROR((H21-H22)/H21*100,"")</f>
        <v/>
      </c>
      <c r="I24" s="12">
        <f>IFERROR((I21-I22)/I21*100,"")</f>
        <v/>
      </c>
      <c r="J24" s="12">
        <f>IFERROR((J21-J22)/J21*100,"")</f>
        <v/>
      </c>
      <c r="K24" s="12">
        <f>IFERROR((K21-K22)/K21*100,"")</f>
        <v/>
      </c>
      <c r="L24" s="12">
        <f>IFERROR((L21-L22)/L21*100,"")</f>
        <v/>
      </c>
      <c r="M24" s="12">
        <f>IFERROR((M21-M22)/M21*100,"")</f>
        <v/>
      </c>
      <c r="N24" s="12">
        <f>IFERROR((N21-N22)/N21*100,"")</f>
        <v/>
      </c>
      <c r="O24" s="12">
        <f>IFERROR((O21-O22)/O21*100,"")</f>
        <v/>
      </c>
      <c r="P24" s="12">
        <f>IFERROR((P21-P22)/P21*100,"")</f>
        <v/>
      </c>
      <c r="Q24" s="12">
        <f>IFERROR((Q21-Q22)/Q21*100,"")</f>
        <v/>
      </c>
      <c r="R24" s="12">
        <f>IFERROR((R21-R22)/R21*100,"")</f>
        <v/>
      </c>
      <c r="S24" s="12">
        <f>IFERROR((S21-S22)/S21*100,"")</f>
        <v/>
      </c>
      <c r="T24" s="12">
        <f>IFERROR((T21-T22)/T21*100,"")</f>
        <v/>
      </c>
      <c r="U24" s="12">
        <f>IFERROR((U21-U22)/U21*100,"")</f>
        <v/>
      </c>
      <c r="V24" s="12">
        <f>IFERROR((V21-V22)/V21*100,"")</f>
        <v/>
      </c>
      <c r="W24" s="12">
        <f>IFERROR((W21-W22)/W21*100,"")</f>
        <v/>
      </c>
      <c r="X24" s="12">
        <f>IFERROR((X21-X22)/X21*100,"")</f>
        <v/>
      </c>
      <c r="Y24" s="12">
        <f>IFERROR((Y21-Y22)/Y21*100,"")</f>
        <v/>
      </c>
      <c r="Z24" s="12">
        <f>IFERROR((Z21-Z22)/Z21*100,"")</f>
        <v/>
      </c>
      <c r="AA24" s="12">
        <f>IFERROR((AA21-AA22)/AA21*100,"")</f>
        <v/>
      </c>
      <c r="AB24" s="12">
        <f>IFERROR((AB21-AB22)/AB21*100,"")</f>
        <v/>
      </c>
      <c r="AC24" s="12">
        <f>IFERROR((AC21-AC22)/AC21*100,"")</f>
        <v/>
      </c>
      <c r="AD24" s="12">
        <f>IFERROR((AD21-AD22)/AD21*100,"")</f>
        <v/>
      </c>
      <c r="AE24" s="12">
        <f>IFERROR((AE21-AE22)/AE21*100,"")</f>
        <v/>
      </c>
      <c r="AF24" s="12">
        <f>IFERROR((AF21-AF22)/AF21*100,"")</f>
        <v/>
      </c>
      <c r="AG24" s="12">
        <f>IFERROR((AG21-AG22)/AG21*100,"")</f>
        <v/>
      </c>
      <c r="AH24" s="12">
        <f>IFERROR((AH21-AH22)/AH21*100,"")</f>
        <v/>
      </c>
      <c r="AI24" s="12">
        <f>IFERROR((AI21-AI22)/AI21*100,"")</f>
        <v/>
      </c>
      <c r="AJ24" s="12">
        <f>IFERROR((AJ21-AJ22)/AJ21*100,"")</f>
        <v/>
      </c>
      <c r="AK24" s="12">
        <f>IFERROR((AK21-AK22)/AK21*100,"")</f>
        <v/>
      </c>
      <c r="AL24" s="12">
        <f>IFERROR((AL21-AL22)/AL21*100,"")</f>
        <v/>
      </c>
      <c r="AM24" s="12">
        <f>IFERROR((AM21-AM22)/AM21*100,"")</f>
        <v/>
      </c>
      <c r="AN24" s="12">
        <f>IFERROR((AN21-AN22)/AN21*100,"")</f>
        <v/>
      </c>
      <c r="AO24" s="12">
        <f>IFERROR((AO21-AO22)/AO21*100,"")</f>
        <v/>
      </c>
      <c r="AP24" s="12">
        <f>IFERROR((AP21-AP22)/AP21*100,"")</f>
        <v/>
      </c>
      <c r="AQ24" s="12">
        <f>IFERROR((AQ21-AQ22)/AQ21*100,"")</f>
        <v/>
      </c>
      <c r="AR24" s="12">
        <f>IFERROR((AR21-AR22)/AR21*100,"")</f>
        <v/>
      </c>
      <c r="AS24" s="12">
        <f>IFERROR((AS21-AS22)/AS21*100,"")</f>
        <v/>
      </c>
      <c r="AT24" s="12">
        <f>IFERROR((AT21-AT22)/AT21*100,"")</f>
        <v/>
      </c>
      <c r="AU24" s="12">
        <f>IFERROR((AU21-AU22)/AU21*100,"")</f>
        <v/>
      </c>
      <c r="AV24" s="12">
        <f>IFERROR((AV21-AV22)/AV21*100,"")</f>
        <v/>
      </c>
      <c r="AW24" s="12">
        <f>IFERROR((AW21-AW22)/AW21*100,"")</f>
        <v/>
      </c>
      <c r="AX24" s="12">
        <f>IFERROR((AX21-AX22)/AX21*100,"")</f>
        <v/>
      </c>
      <c r="AY24" s="12">
        <f>IFERROR((AY21-AY22)/AY21*100,"")</f>
        <v/>
      </c>
    </row>
    <row r="25">
      <c r="A25" s="4" t="inlineStr">
        <is>
          <t>Écart actuel → marché (%)</t>
        </is>
      </c>
      <c r="B25" s="11">
        <f>IFERROR((B22-B23)/B22*100,"")</f>
        <v/>
      </c>
      <c r="C25" s="11">
        <f>IFERROR((C22-C23)/C22*100,"")</f>
        <v/>
      </c>
      <c r="D25" s="11">
        <f>IFERROR((D22-D23)/D22*100,"")</f>
        <v/>
      </c>
      <c r="E25" s="11">
        <f>IFERROR((E22-E23)/E22*100,"")</f>
        <v/>
      </c>
      <c r="F25" s="11">
        <f>IFERROR((F22-F23)/F22*100,"")</f>
        <v/>
      </c>
      <c r="G25" s="12">
        <f>IFERROR((G22-G23)/G22*100,"")</f>
        <v/>
      </c>
      <c r="H25" s="12">
        <f>IFERROR((H22-H23)/H22*100,"")</f>
        <v/>
      </c>
      <c r="I25" s="12">
        <f>IFERROR((I22-I23)/I22*100,"")</f>
        <v/>
      </c>
      <c r="J25" s="12">
        <f>IFERROR((J22-J23)/J22*100,"")</f>
        <v/>
      </c>
      <c r="K25" s="12">
        <f>IFERROR((K22-K23)/K22*100,"")</f>
        <v/>
      </c>
      <c r="L25" s="12">
        <f>IFERROR((L22-L23)/L22*100,"")</f>
        <v/>
      </c>
      <c r="M25" s="12">
        <f>IFERROR((M22-M23)/M22*100,"")</f>
        <v/>
      </c>
      <c r="N25" s="12">
        <f>IFERROR((N22-N23)/N22*100,"")</f>
        <v/>
      </c>
      <c r="O25" s="12">
        <f>IFERROR((O22-O23)/O22*100,"")</f>
        <v/>
      </c>
      <c r="P25" s="12">
        <f>IFERROR((P22-P23)/P22*100,"")</f>
        <v/>
      </c>
      <c r="Q25" s="12">
        <f>IFERROR((Q22-Q23)/Q22*100,"")</f>
        <v/>
      </c>
      <c r="R25" s="12">
        <f>IFERROR((R22-R23)/R22*100,"")</f>
        <v/>
      </c>
      <c r="S25" s="12">
        <f>IFERROR((S22-S23)/S22*100,"")</f>
        <v/>
      </c>
      <c r="T25" s="12">
        <f>IFERROR((T22-T23)/T22*100,"")</f>
        <v/>
      </c>
      <c r="U25" s="12">
        <f>IFERROR((U22-U23)/U22*100,"")</f>
        <v/>
      </c>
      <c r="V25" s="12">
        <f>IFERROR((V22-V23)/V22*100,"")</f>
        <v/>
      </c>
      <c r="W25" s="12">
        <f>IFERROR((W22-W23)/W22*100,"")</f>
        <v/>
      </c>
      <c r="X25" s="12">
        <f>IFERROR((X22-X23)/X22*100,"")</f>
        <v/>
      </c>
      <c r="Y25" s="12">
        <f>IFERROR((Y22-Y23)/Y22*100,"")</f>
        <v/>
      </c>
      <c r="Z25" s="12">
        <f>IFERROR((Z22-Z23)/Z22*100,"")</f>
        <v/>
      </c>
      <c r="AA25" s="12">
        <f>IFERROR((AA22-AA23)/AA22*100,"")</f>
        <v/>
      </c>
      <c r="AB25" s="12">
        <f>IFERROR((AB22-AB23)/AB22*100,"")</f>
        <v/>
      </c>
      <c r="AC25" s="12">
        <f>IFERROR((AC22-AC23)/AC22*100,"")</f>
        <v/>
      </c>
      <c r="AD25" s="12">
        <f>IFERROR((AD22-AD23)/AD22*100,"")</f>
        <v/>
      </c>
      <c r="AE25" s="12">
        <f>IFERROR((AE22-AE23)/AE22*100,"")</f>
        <v/>
      </c>
      <c r="AF25" s="12">
        <f>IFERROR((AF22-AF23)/AF22*100,"")</f>
        <v/>
      </c>
      <c r="AG25" s="12">
        <f>IFERROR((AG22-AG23)/AG22*100,"")</f>
        <v/>
      </c>
      <c r="AH25" s="12">
        <f>IFERROR((AH22-AH23)/AH22*100,"")</f>
        <v/>
      </c>
      <c r="AI25" s="12">
        <f>IFERROR((AI22-AI23)/AI22*100,"")</f>
        <v/>
      </c>
      <c r="AJ25" s="12">
        <f>IFERROR((AJ22-AJ23)/AJ22*100,"")</f>
        <v/>
      </c>
      <c r="AK25" s="12">
        <f>IFERROR((AK22-AK23)/AK22*100,"")</f>
        <v/>
      </c>
      <c r="AL25" s="12">
        <f>IFERROR((AL22-AL23)/AL22*100,"")</f>
        <v/>
      </c>
      <c r="AM25" s="12">
        <f>IFERROR((AM22-AM23)/AM22*100,"")</f>
        <v/>
      </c>
      <c r="AN25" s="12">
        <f>IFERROR((AN22-AN23)/AN22*100,"")</f>
        <v/>
      </c>
      <c r="AO25" s="12">
        <f>IFERROR((AO22-AO23)/AO22*100,"")</f>
        <v/>
      </c>
      <c r="AP25" s="12">
        <f>IFERROR((AP22-AP23)/AP22*100,"")</f>
        <v/>
      </c>
      <c r="AQ25" s="12">
        <f>IFERROR((AQ22-AQ23)/AQ22*100,"")</f>
        <v/>
      </c>
      <c r="AR25" s="12">
        <f>IFERROR((AR22-AR23)/AR22*100,"")</f>
        <v/>
      </c>
      <c r="AS25" s="12">
        <f>IFERROR((AS22-AS23)/AS22*100,"")</f>
        <v/>
      </c>
      <c r="AT25" s="12">
        <f>IFERROR((AT22-AT23)/AT22*100,"")</f>
        <v/>
      </c>
      <c r="AU25" s="12">
        <f>IFERROR((AU22-AU23)/AU22*100,"")</f>
        <v/>
      </c>
      <c r="AV25" s="12">
        <f>IFERROR((AV22-AV23)/AV22*100,"")</f>
        <v/>
      </c>
      <c r="AW25" s="12">
        <f>IFERROR((AW22-AW23)/AW22*100,"")</f>
        <v/>
      </c>
      <c r="AX25" s="12">
        <f>IFERROR((AX22-AX23)/AX22*100,"")</f>
        <v/>
      </c>
      <c r="AY25" s="12">
        <f>IFERROR((AY22-AY23)/AY22*100,"")</f>
        <v/>
      </c>
    </row>
    <row r="26" ht="15.5" customHeight="1" s="24">
      <c r="A26" s="7" t="inlineStr">
        <is>
          <t>PRIX DÉRIVÉS (base = prix actuel site propre)</t>
        </is>
      </c>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c r="AY26" s="8" t="n"/>
    </row>
    <row r="27">
      <c r="A27" s="4" t="inlineStr">
        <is>
          <t>Prix actuel / kg (€)</t>
        </is>
      </c>
      <c r="B27" s="13">
        <f>IFERROR(B22/(B5/1000),"")</f>
        <v/>
      </c>
      <c r="C27" s="13">
        <f>IFERROR(C22/(C5/1000),"")</f>
        <v/>
      </c>
      <c r="D27" s="13">
        <f>IFERROR(D22/(D5/1000),"")</f>
        <v/>
      </c>
      <c r="E27" s="13">
        <f>IFERROR(E22/(E5/1000),"")</f>
        <v/>
      </c>
      <c r="F27" s="13">
        <f>IFERROR(F22/(F5/1000),"")</f>
        <v/>
      </c>
      <c r="G27" s="14">
        <f>IFERROR(G22/(G5/1000),"")</f>
        <v/>
      </c>
      <c r="H27" s="14">
        <f>IFERROR(H22/(H5/1000),"")</f>
        <v/>
      </c>
      <c r="I27" s="14">
        <f>IFERROR(I22/(I5/1000),"")</f>
        <v/>
      </c>
      <c r="J27" s="14">
        <f>IFERROR(J22/(J5/1000),"")</f>
        <v/>
      </c>
      <c r="K27" s="14">
        <f>IFERROR(K22/(K5/1000),"")</f>
        <v/>
      </c>
      <c r="L27" s="14">
        <f>IFERROR(L22/(L5/1000),"")</f>
        <v/>
      </c>
      <c r="M27" s="14">
        <f>IFERROR(M22/(M5/1000),"")</f>
        <v/>
      </c>
      <c r="N27" s="14">
        <f>IFERROR(N22/(N5/1000),"")</f>
        <v/>
      </c>
      <c r="O27" s="14">
        <f>IFERROR(O22/(O5/1000),"")</f>
        <v/>
      </c>
      <c r="P27" s="14">
        <f>IFERROR(P22/(P5/1000),"")</f>
        <v/>
      </c>
      <c r="Q27" s="14">
        <f>IFERROR(Q22/(Q5/1000),"")</f>
        <v/>
      </c>
      <c r="R27" s="14">
        <f>IFERROR(R22/(R5/1000),"")</f>
        <v/>
      </c>
      <c r="S27" s="14">
        <f>IFERROR(S22/(S5/1000),"")</f>
        <v/>
      </c>
      <c r="T27" s="14">
        <f>IFERROR(T22/(T5/1000),"")</f>
        <v/>
      </c>
      <c r="U27" s="14">
        <f>IFERROR(U22/(U5/1000),"")</f>
        <v/>
      </c>
      <c r="V27" s="14">
        <f>IFERROR(V22/(V5/1000),"")</f>
        <v/>
      </c>
      <c r="W27" s="14">
        <f>IFERROR(W22/(W5/1000),"")</f>
        <v/>
      </c>
      <c r="X27" s="14">
        <f>IFERROR(X22/(X5/1000),"")</f>
        <v/>
      </c>
      <c r="Y27" s="14">
        <f>IFERROR(Y22/(Y5/1000),"")</f>
        <v/>
      </c>
      <c r="Z27" s="14">
        <f>IFERROR(Z22/(Z5/1000),"")</f>
        <v/>
      </c>
      <c r="AA27" s="14">
        <f>IFERROR(AA22/(AA5/1000),"")</f>
        <v/>
      </c>
      <c r="AB27" s="14">
        <f>IFERROR(AB22/(AB5/1000),"")</f>
        <v/>
      </c>
      <c r="AC27" s="14">
        <f>IFERROR(AC22/(AC5/1000),"")</f>
        <v/>
      </c>
      <c r="AD27" s="14">
        <f>IFERROR(AD22/(AD5/1000),"")</f>
        <v/>
      </c>
      <c r="AE27" s="14">
        <f>IFERROR(AE22/(AE5/1000),"")</f>
        <v/>
      </c>
      <c r="AF27" s="14">
        <f>IFERROR(AF22/(AF5/1000),"")</f>
        <v/>
      </c>
      <c r="AG27" s="14">
        <f>IFERROR(AG22/(AG5/1000),"")</f>
        <v/>
      </c>
      <c r="AH27" s="14">
        <f>IFERROR(AH22/(AH5/1000),"")</f>
        <v/>
      </c>
      <c r="AI27" s="14">
        <f>IFERROR(AI22/(AI5/1000),"")</f>
        <v/>
      </c>
      <c r="AJ27" s="14">
        <f>IFERROR(AJ22/(AJ5/1000),"")</f>
        <v/>
      </c>
      <c r="AK27" s="14">
        <f>IFERROR(AK22/(AK5/1000),"")</f>
        <v/>
      </c>
      <c r="AL27" s="14">
        <f>IFERROR(AL22/(AL5/1000),"")</f>
        <v/>
      </c>
      <c r="AM27" s="14">
        <f>IFERROR(AM22/(AM5/1000),"")</f>
        <v/>
      </c>
      <c r="AN27" s="14">
        <f>IFERROR(AN22/(AN5/1000),"")</f>
        <v/>
      </c>
      <c r="AO27" s="14">
        <f>IFERROR(AO22/(AO5/1000),"")</f>
        <v/>
      </c>
      <c r="AP27" s="14">
        <f>IFERROR(AP22/(AP5/1000),"")</f>
        <v/>
      </c>
      <c r="AQ27" s="14">
        <f>IFERROR(AQ22/(AQ5/1000),"")</f>
        <v/>
      </c>
      <c r="AR27" s="14">
        <f>IFERROR(AR22/(AR5/1000),"")</f>
        <v/>
      </c>
      <c r="AS27" s="14">
        <f>IFERROR(AS22/(AS5/1000),"")</f>
        <v/>
      </c>
      <c r="AT27" s="14">
        <f>IFERROR(AT22/(AT5/1000),"")</f>
        <v/>
      </c>
      <c r="AU27" s="14">
        <f>IFERROR(AU22/(AU5/1000),"")</f>
        <v/>
      </c>
      <c r="AV27" s="14">
        <f>IFERROR(AV22/(AV5/1000),"")</f>
        <v/>
      </c>
      <c r="AW27" s="14">
        <f>IFERROR(AW22/(AW5/1000),"")</f>
        <v/>
      </c>
      <c r="AX27" s="14">
        <f>IFERROR(AX22/(AX5/1000),"")</f>
        <v/>
      </c>
      <c r="AY27" s="14">
        <f>IFERROR(AY22/(AY5/1000),"")</f>
        <v/>
      </c>
    </row>
    <row r="28">
      <c r="A28" s="4" t="inlineStr">
        <is>
          <t>Prix actuel / portion (€)</t>
        </is>
      </c>
      <c r="B28" s="13">
        <f>IFERROR(B22/B15,"")</f>
        <v/>
      </c>
      <c r="C28" s="13">
        <f>IFERROR(C22/C15,"")</f>
        <v/>
      </c>
      <c r="D28" s="13">
        <f>IFERROR(D22/D15,"")</f>
        <v/>
      </c>
      <c r="E28" s="13">
        <f>IFERROR(E22/E15,"")</f>
        <v/>
      </c>
      <c r="F28" s="13">
        <f>IFERROR(F22/F15,"")</f>
        <v/>
      </c>
      <c r="G28" s="14">
        <f>IFERROR(G22/G15,"")</f>
        <v/>
      </c>
      <c r="H28" s="14">
        <f>IFERROR(H22/H15,"")</f>
        <v/>
      </c>
      <c r="I28" s="14">
        <f>IFERROR(I22/I15,"")</f>
        <v/>
      </c>
      <c r="J28" s="14">
        <f>IFERROR(J22/J15,"")</f>
        <v/>
      </c>
      <c r="K28" s="14">
        <f>IFERROR(K22/K15,"")</f>
        <v/>
      </c>
      <c r="L28" s="14">
        <f>IFERROR(L22/L15,"")</f>
        <v/>
      </c>
      <c r="M28" s="14">
        <f>IFERROR(M22/M15,"")</f>
        <v/>
      </c>
      <c r="N28" s="14">
        <f>IFERROR(N22/N15,"")</f>
        <v/>
      </c>
      <c r="O28" s="14">
        <f>IFERROR(O22/O15,"")</f>
        <v/>
      </c>
      <c r="P28" s="14">
        <f>IFERROR(P22/P15,"")</f>
        <v/>
      </c>
      <c r="Q28" s="14">
        <f>IFERROR(Q22/Q15,"")</f>
        <v/>
      </c>
      <c r="R28" s="14">
        <f>IFERROR(R22/R15,"")</f>
        <v/>
      </c>
      <c r="S28" s="14">
        <f>IFERROR(S22/S15,"")</f>
        <v/>
      </c>
      <c r="T28" s="14">
        <f>IFERROR(T22/T15,"")</f>
        <v/>
      </c>
      <c r="U28" s="14">
        <f>IFERROR(U22/U15,"")</f>
        <v/>
      </c>
      <c r="V28" s="14">
        <f>IFERROR(V22/V15,"")</f>
        <v/>
      </c>
      <c r="W28" s="14">
        <f>IFERROR(W22/W15,"")</f>
        <v/>
      </c>
      <c r="X28" s="14">
        <f>IFERROR(X22/X15,"")</f>
        <v/>
      </c>
      <c r="Y28" s="14">
        <f>IFERROR(Y22/Y15,"")</f>
        <v/>
      </c>
      <c r="Z28" s="14">
        <f>IFERROR(Z22/Z15,"")</f>
        <v/>
      </c>
      <c r="AA28" s="14">
        <f>IFERROR(AA22/AA15,"")</f>
        <v/>
      </c>
      <c r="AB28" s="14">
        <f>IFERROR(AB22/AB15,"")</f>
        <v/>
      </c>
      <c r="AC28" s="14">
        <f>IFERROR(AC22/AC15,"")</f>
        <v/>
      </c>
      <c r="AD28" s="14">
        <f>IFERROR(AD22/AD15,"")</f>
        <v/>
      </c>
      <c r="AE28" s="14">
        <f>IFERROR(AE22/AE15,"")</f>
        <v/>
      </c>
      <c r="AF28" s="14">
        <f>IFERROR(AF22/AF15,"")</f>
        <v/>
      </c>
      <c r="AG28" s="14">
        <f>IFERROR(AG22/AG15,"")</f>
        <v/>
      </c>
      <c r="AH28" s="14">
        <f>IFERROR(AH22/AH15,"")</f>
        <v/>
      </c>
      <c r="AI28" s="14">
        <f>IFERROR(AI22/AI15,"")</f>
        <v/>
      </c>
      <c r="AJ28" s="14">
        <f>IFERROR(AJ22/AJ15,"")</f>
        <v/>
      </c>
      <c r="AK28" s="14">
        <f>IFERROR(AK22/AK15,"")</f>
        <v/>
      </c>
      <c r="AL28" s="14">
        <f>IFERROR(AL22/AL15,"")</f>
        <v/>
      </c>
      <c r="AM28" s="14">
        <f>IFERROR(AM22/AM15,"")</f>
        <v/>
      </c>
      <c r="AN28" s="14">
        <f>IFERROR(AN22/AN15,"")</f>
        <v/>
      </c>
      <c r="AO28" s="14">
        <f>IFERROR(AO22/AO15,"")</f>
        <v/>
      </c>
      <c r="AP28" s="14">
        <f>IFERROR(AP22/AP15,"")</f>
        <v/>
      </c>
      <c r="AQ28" s="14">
        <f>IFERROR(AQ22/AQ15,"")</f>
        <v/>
      </c>
      <c r="AR28" s="14">
        <f>IFERROR(AR22/AR15,"")</f>
        <v/>
      </c>
      <c r="AS28" s="14">
        <f>IFERROR(AS22/AS15,"")</f>
        <v/>
      </c>
      <c r="AT28" s="14">
        <f>IFERROR(AT22/AT15,"")</f>
        <v/>
      </c>
      <c r="AU28" s="14">
        <f>IFERROR(AU22/AU15,"")</f>
        <v/>
      </c>
      <c r="AV28" s="14">
        <f>IFERROR(AV22/AV15,"")</f>
        <v/>
      </c>
      <c r="AW28" s="14">
        <f>IFERROR(AW22/AW15,"")</f>
        <v/>
      </c>
      <c r="AX28" s="14">
        <f>IFERROR(AX22/AX15,"")</f>
        <v/>
      </c>
      <c r="AY28" s="14">
        <f>IFERROR(AY22/AY15,"")</f>
        <v/>
      </c>
    </row>
    <row r="29">
      <c r="A29" s="4" t="inlineStr">
        <is>
          <t>Prix actuel / g de protéine (€)</t>
        </is>
      </c>
      <c r="B29" s="15">
        <f>IFERROR(B22/(B15*B13),"")</f>
        <v/>
      </c>
      <c r="C29" s="15">
        <f>IFERROR(C22/(C15*C13),"")</f>
        <v/>
      </c>
      <c r="D29" s="15">
        <f>IFERROR(D22/(D15*D13),"")</f>
        <v/>
      </c>
      <c r="E29" s="15">
        <f>IFERROR(E22/(E15*E13),"")</f>
        <v/>
      </c>
      <c r="F29" s="15">
        <f>IFERROR(F22/(F15*F13),"")</f>
        <v/>
      </c>
      <c r="G29" s="16">
        <f>IFERROR(G22/(G15*G13),"")</f>
        <v/>
      </c>
      <c r="H29" s="16">
        <f>IFERROR(H22/(H15*H13),"")</f>
        <v/>
      </c>
      <c r="I29" s="16">
        <f>IFERROR(I22/(I15*I13),"")</f>
        <v/>
      </c>
      <c r="J29" s="16">
        <f>IFERROR(J22/(J15*J13),"")</f>
        <v/>
      </c>
      <c r="K29" s="16">
        <f>IFERROR(K22/(K15*K13),"")</f>
        <v/>
      </c>
      <c r="L29" s="16">
        <f>IFERROR(L22/(L15*L13),"")</f>
        <v/>
      </c>
      <c r="M29" s="16">
        <f>IFERROR(M22/(M15*M13),"")</f>
        <v/>
      </c>
      <c r="N29" s="16">
        <f>IFERROR(N22/(N15*N13),"")</f>
        <v/>
      </c>
      <c r="O29" s="16">
        <f>IFERROR(O22/(O15*O13),"")</f>
        <v/>
      </c>
      <c r="P29" s="16">
        <f>IFERROR(P22/(P15*P13),"")</f>
        <v/>
      </c>
      <c r="Q29" s="16">
        <f>IFERROR(Q22/(Q15*Q13),"")</f>
        <v/>
      </c>
      <c r="R29" s="16">
        <f>IFERROR(R22/(R15*R13),"")</f>
        <v/>
      </c>
      <c r="S29" s="16">
        <f>IFERROR(S22/(S15*S13),"")</f>
        <v/>
      </c>
      <c r="T29" s="16">
        <f>IFERROR(T22/(T15*T13),"")</f>
        <v/>
      </c>
      <c r="U29" s="16">
        <f>IFERROR(U22/(U15*U13),"")</f>
        <v/>
      </c>
      <c r="V29" s="16">
        <f>IFERROR(V22/(V15*V13),"")</f>
        <v/>
      </c>
      <c r="W29" s="16">
        <f>IFERROR(W22/(W15*W13),"")</f>
        <v/>
      </c>
      <c r="X29" s="16">
        <f>IFERROR(X22/(X15*X13),"")</f>
        <v/>
      </c>
      <c r="Y29" s="16">
        <f>IFERROR(Y22/(Y15*Y13),"")</f>
        <v/>
      </c>
      <c r="Z29" s="16">
        <f>IFERROR(Z22/(Z15*Z13),"")</f>
        <v/>
      </c>
      <c r="AA29" s="16">
        <f>IFERROR(AA22/(AA15*AA13),"")</f>
        <v/>
      </c>
      <c r="AB29" s="16">
        <f>IFERROR(AB22/(AB15*AB13),"")</f>
        <v/>
      </c>
      <c r="AC29" s="16">
        <f>IFERROR(AC22/(AC15*AC13),"")</f>
        <v/>
      </c>
      <c r="AD29" s="16">
        <f>IFERROR(AD22/(AD15*AD13),"")</f>
        <v/>
      </c>
      <c r="AE29" s="16">
        <f>IFERROR(AE22/(AE15*AE13),"")</f>
        <v/>
      </c>
      <c r="AF29" s="16">
        <f>IFERROR(AF22/(AF15*AF13),"")</f>
        <v/>
      </c>
      <c r="AG29" s="16">
        <f>IFERROR(AG22/(AG15*AG13),"")</f>
        <v/>
      </c>
      <c r="AH29" s="16">
        <f>IFERROR(AH22/(AH15*AH13),"")</f>
        <v/>
      </c>
      <c r="AI29" s="16">
        <f>IFERROR(AI22/(AI15*AI13),"")</f>
        <v/>
      </c>
      <c r="AJ29" s="16">
        <f>IFERROR(AJ22/(AJ15*AJ13),"")</f>
        <v/>
      </c>
      <c r="AK29" s="16">
        <f>IFERROR(AK22/(AK15*AK13),"")</f>
        <v/>
      </c>
      <c r="AL29" s="16">
        <f>IFERROR(AL22/(AL15*AL13),"")</f>
        <v/>
      </c>
      <c r="AM29" s="16">
        <f>IFERROR(AM22/(AM15*AM13),"")</f>
        <v/>
      </c>
      <c r="AN29" s="16">
        <f>IFERROR(AN22/(AN15*AN13),"")</f>
        <v/>
      </c>
      <c r="AO29" s="16">
        <f>IFERROR(AO22/(AO15*AO13),"")</f>
        <v/>
      </c>
      <c r="AP29" s="16">
        <f>IFERROR(AP22/(AP15*AP13),"")</f>
        <v/>
      </c>
      <c r="AQ29" s="16">
        <f>IFERROR(AQ22/(AQ15*AQ13),"")</f>
        <v/>
      </c>
      <c r="AR29" s="16">
        <f>IFERROR(AR22/(AR15*AR13),"")</f>
        <v/>
      </c>
      <c r="AS29" s="16">
        <f>IFERROR(AS22/(AS15*AS13),"")</f>
        <v/>
      </c>
      <c r="AT29" s="16">
        <f>IFERROR(AT22/(AT15*AT13),"")</f>
        <v/>
      </c>
      <c r="AU29" s="16">
        <f>IFERROR(AU22/(AU15*AU13),"")</f>
        <v/>
      </c>
      <c r="AV29" s="16">
        <f>IFERROR(AV22/(AV15*AV13),"")</f>
        <v/>
      </c>
      <c r="AW29" s="16">
        <f>IFERROR(AW22/(AW15*AW13),"")</f>
        <v/>
      </c>
      <c r="AX29" s="16">
        <f>IFERROR(AX22/(AX15*AX13),"")</f>
        <v/>
      </c>
      <c r="AY29" s="16">
        <f>IFERROR(AY22/(AY15*AY13),"")</f>
        <v/>
      </c>
    </row>
    <row r="30">
      <c r="A30" s="4" t="inlineStr">
        <is>
          <t>Prix marché / g de protéine (€)</t>
        </is>
      </c>
      <c r="B30" s="15">
        <f>IFERROR(B23/(B15*B13),"")</f>
        <v/>
      </c>
      <c r="C30" s="15">
        <f>IFERROR(C23/(C15*C13),"")</f>
        <v/>
      </c>
      <c r="D30" s="15">
        <f>IFERROR(D23/(D15*D13),"")</f>
        <v/>
      </c>
      <c r="E30" s="15">
        <f>IFERROR(E23/(E15*E13),"")</f>
        <v/>
      </c>
      <c r="F30" s="15">
        <f>IFERROR(F23/(F15*F13),"")</f>
        <v/>
      </c>
      <c r="G30" s="16">
        <f>IFERROR(G23/(G15*G13),"")</f>
        <v/>
      </c>
      <c r="H30" s="16">
        <f>IFERROR(H23/(H15*H13),"")</f>
        <v/>
      </c>
      <c r="I30" s="16">
        <f>IFERROR(I23/(I15*I13),"")</f>
        <v/>
      </c>
      <c r="J30" s="16">
        <f>IFERROR(J23/(J15*J13),"")</f>
        <v/>
      </c>
      <c r="K30" s="16">
        <f>IFERROR(K23/(K15*K13),"")</f>
        <v/>
      </c>
      <c r="L30" s="16">
        <f>IFERROR(L23/(L15*L13),"")</f>
        <v/>
      </c>
      <c r="M30" s="16">
        <f>IFERROR(M23/(M15*M13),"")</f>
        <v/>
      </c>
      <c r="N30" s="16">
        <f>IFERROR(N23/(N15*N13),"")</f>
        <v/>
      </c>
      <c r="O30" s="16">
        <f>IFERROR(O23/(O15*O13),"")</f>
        <v/>
      </c>
      <c r="P30" s="16">
        <f>IFERROR(P23/(P15*P13),"")</f>
        <v/>
      </c>
      <c r="Q30" s="16">
        <f>IFERROR(Q23/(Q15*Q13),"")</f>
        <v/>
      </c>
      <c r="R30" s="16">
        <f>IFERROR(R23/(R15*R13),"")</f>
        <v/>
      </c>
      <c r="S30" s="16">
        <f>IFERROR(S23/(S15*S13),"")</f>
        <v/>
      </c>
      <c r="T30" s="16">
        <f>IFERROR(T23/(T15*T13),"")</f>
        <v/>
      </c>
      <c r="U30" s="16">
        <f>IFERROR(U23/(U15*U13),"")</f>
        <v/>
      </c>
      <c r="V30" s="16">
        <f>IFERROR(V23/(V15*V13),"")</f>
        <v/>
      </c>
      <c r="W30" s="16">
        <f>IFERROR(W23/(W15*W13),"")</f>
        <v/>
      </c>
      <c r="X30" s="16">
        <f>IFERROR(X23/(X15*X13),"")</f>
        <v/>
      </c>
      <c r="Y30" s="16">
        <f>IFERROR(Y23/(Y15*Y13),"")</f>
        <v/>
      </c>
      <c r="Z30" s="16">
        <f>IFERROR(Z23/(Z15*Z13),"")</f>
        <v/>
      </c>
      <c r="AA30" s="16">
        <f>IFERROR(AA23/(AA15*AA13),"")</f>
        <v/>
      </c>
      <c r="AB30" s="16">
        <f>IFERROR(AB23/(AB15*AB13),"")</f>
        <v/>
      </c>
      <c r="AC30" s="16">
        <f>IFERROR(AC23/(AC15*AC13),"")</f>
        <v/>
      </c>
      <c r="AD30" s="16">
        <f>IFERROR(AD23/(AD15*AD13),"")</f>
        <v/>
      </c>
      <c r="AE30" s="16">
        <f>IFERROR(AE23/(AE15*AE13),"")</f>
        <v/>
      </c>
      <c r="AF30" s="16">
        <f>IFERROR(AF23/(AF15*AF13),"")</f>
        <v/>
      </c>
      <c r="AG30" s="16">
        <f>IFERROR(AG23/(AG15*AG13),"")</f>
        <v/>
      </c>
      <c r="AH30" s="16">
        <f>IFERROR(AH23/(AH15*AH13),"")</f>
        <v/>
      </c>
      <c r="AI30" s="16">
        <f>IFERROR(AI23/(AI15*AI13),"")</f>
        <v/>
      </c>
      <c r="AJ30" s="16">
        <f>IFERROR(AJ23/(AJ15*AJ13),"")</f>
        <v/>
      </c>
      <c r="AK30" s="16">
        <f>IFERROR(AK23/(AK15*AK13),"")</f>
        <v/>
      </c>
      <c r="AL30" s="16">
        <f>IFERROR(AL23/(AL15*AL13),"")</f>
        <v/>
      </c>
      <c r="AM30" s="16">
        <f>IFERROR(AM23/(AM15*AM13),"")</f>
        <v/>
      </c>
      <c r="AN30" s="16">
        <f>IFERROR(AN23/(AN15*AN13),"")</f>
        <v/>
      </c>
      <c r="AO30" s="16">
        <f>IFERROR(AO23/(AO15*AO13),"")</f>
        <v/>
      </c>
      <c r="AP30" s="16">
        <f>IFERROR(AP23/(AP15*AP13),"")</f>
        <v/>
      </c>
      <c r="AQ30" s="16">
        <f>IFERROR(AQ23/(AQ15*AQ13),"")</f>
        <v/>
      </c>
      <c r="AR30" s="16">
        <f>IFERROR(AR23/(AR15*AR13),"")</f>
        <v/>
      </c>
      <c r="AS30" s="16">
        <f>IFERROR(AS23/(AS15*AS13),"")</f>
        <v/>
      </c>
      <c r="AT30" s="16">
        <f>IFERROR(AT23/(AT15*AT13),"")</f>
        <v/>
      </c>
      <c r="AU30" s="16">
        <f>IFERROR(AU23/(AU15*AU13),"")</f>
        <v/>
      </c>
      <c r="AV30" s="16">
        <f>IFERROR(AV23/(AV15*AV13),"")</f>
        <v/>
      </c>
      <c r="AW30" s="16">
        <f>IFERROR(AW23/(AW15*AW13),"")</f>
        <v/>
      </c>
      <c r="AX30" s="16">
        <f>IFERROR(AX23/(AX15*AX13),"")</f>
        <v/>
      </c>
      <c r="AY30" s="16">
        <f>IFERROR(AY23/(AY15*AY13),"")</f>
        <v/>
      </c>
    </row>
    <row r="31">
      <c r="A31" s="4" t="inlineStr">
        <is>
          <t>Prix abonnement (€ TTC)</t>
        </is>
      </c>
      <c r="B31" s="9" t="n"/>
      <c r="C31" s="9" t="n"/>
      <c r="D31" s="9" t="n"/>
      <c r="E31" s="9" t="n"/>
      <c r="F31" s="9" t="n"/>
      <c r="G31" s="10" t="n"/>
      <c r="H31" s="10" t="n"/>
      <c r="I31" s="10" t="n"/>
      <c r="J31" s="10" t="n"/>
      <c r="K31" s="10" t="n"/>
      <c r="L31" s="10" t="n"/>
      <c r="M31" s="10" t="n"/>
      <c r="N31" s="10" t="n"/>
      <c r="O31" s="10" t="n"/>
      <c r="P31" s="10" t="n"/>
      <c r="Q31" s="10" t="n"/>
      <c r="R31" s="10" t="n"/>
      <c r="S31" s="10" t="n"/>
      <c r="T31" s="10" t="n">
        <v>36.76</v>
      </c>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row>
    <row r="32">
      <c r="A32" s="4" t="inlineStr">
        <is>
          <t>Remise abo (%)</t>
        </is>
      </c>
      <c r="B32" s="9" t="n"/>
      <c r="C32" s="9" t="n"/>
      <c r="D32" s="9" t="n"/>
      <c r="E32" s="9" t="n"/>
      <c r="F32" s="9" t="n"/>
      <c r="G32" s="10" t="n"/>
      <c r="H32" s="10" t="n"/>
      <c r="I32" s="10" t="n"/>
      <c r="J32" s="10" t="n"/>
      <c r="K32" s="10" t="n"/>
      <c r="L32" s="10" t="n"/>
      <c r="M32" s="10" t="n"/>
      <c r="N32" s="10" t="n"/>
      <c r="O32" s="10" t="n"/>
      <c r="P32" s="10" t="n"/>
      <c r="Q32" s="10" t="n"/>
      <c r="R32" s="10" t="n"/>
      <c r="S32" s="10" t="n"/>
      <c r="T32" s="10" t="n">
        <v>20</v>
      </c>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0" t="n"/>
    </row>
    <row r="33" ht="15.5" customHeight="1" s="24">
      <c r="A33" s="7" t="inlineStr">
        <is>
          <t>PRIX EFFECTIF (avec code influenceur appliqué sur prix actuel)</t>
        </is>
      </c>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c r="AI33" s="8" t="n"/>
      <c r="AJ33" s="8" t="n"/>
      <c r="AK33" s="8" t="n"/>
      <c r="AL33" s="8" t="n"/>
      <c r="AM33" s="8" t="n"/>
      <c r="AN33" s="8" t="n"/>
      <c r="AO33" s="8" t="n"/>
      <c r="AP33" s="8" t="n"/>
      <c r="AQ33" s="8" t="n"/>
      <c r="AR33" s="8" t="n"/>
      <c r="AS33" s="8" t="n"/>
      <c r="AT33" s="8" t="n"/>
      <c r="AU33" s="8" t="n"/>
      <c r="AV33" s="8" t="n"/>
      <c r="AW33" s="8" t="n"/>
      <c r="AX33" s="8" t="n"/>
      <c r="AY33" s="8" t="n"/>
    </row>
    <row r="34">
      <c r="A34" s="4" t="inlineStr">
        <is>
          <t>Remise bas fourchette (%)</t>
        </is>
      </c>
      <c r="B34" s="17">
        <f>IFERROR(VLOOKUP(B1,'Discounts par marque'!$A:$G,3,FALSE),0)</f>
        <v/>
      </c>
      <c r="C34" s="17">
        <f>IFERROR(VLOOKUP(C1,'Discounts par marque'!$A:$G,3,FALSE),0)</f>
        <v/>
      </c>
      <c r="D34" s="17">
        <f>IFERROR(VLOOKUP(D1,'Discounts par marque'!$A:$G,3,FALSE),0)</f>
        <v/>
      </c>
      <c r="E34" s="17">
        <f>IFERROR(VLOOKUP(E1,'Discounts par marque'!$A:$G,3,FALSE),0)</f>
        <v/>
      </c>
      <c r="F34" s="17">
        <f>IFERROR(VLOOKUP(F1,'Discounts par marque'!$A:$G,3,FALSE),0)</f>
        <v/>
      </c>
      <c r="G34" s="18">
        <f>IFERROR(VLOOKUP(G1,'Discounts par marque'!$A:$G,3,FALSE),0)</f>
        <v/>
      </c>
      <c r="H34" s="18">
        <f>IFERROR(VLOOKUP(H1,'Discounts par marque'!$A:$G,3,FALSE),0)</f>
        <v/>
      </c>
      <c r="I34" s="18">
        <f>IFERROR(VLOOKUP(I1,'Discounts par marque'!$A:$G,3,FALSE),0)</f>
        <v/>
      </c>
      <c r="J34" s="18">
        <f>IFERROR(VLOOKUP(J1,'Discounts par marque'!$A:$G,3,FALSE),0)</f>
        <v/>
      </c>
      <c r="K34" s="18">
        <f>IFERROR(VLOOKUP(K1,'Discounts par marque'!$A:$G,3,FALSE),0)</f>
        <v/>
      </c>
      <c r="L34" s="18">
        <f>IFERROR(VLOOKUP(L1,'Discounts par marque'!$A:$G,3,FALSE),0)</f>
        <v/>
      </c>
      <c r="M34" s="18">
        <f>IFERROR(VLOOKUP(M1,'Discounts par marque'!$A:$G,3,FALSE),0)</f>
        <v/>
      </c>
      <c r="N34" s="18">
        <f>IFERROR(VLOOKUP(N1,'Discounts par marque'!$A:$G,3,FALSE),0)</f>
        <v/>
      </c>
      <c r="O34" s="18">
        <f>IFERROR(VLOOKUP(O1,'Discounts par marque'!$A:$G,3,FALSE),0)</f>
        <v/>
      </c>
      <c r="P34" s="18">
        <f>IFERROR(VLOOKUP(P1,'Discounts par marque'!$A:$G,3,FALSE),0)</f>
        <v/>
      </c>
      <c r="Q34" s="18">
        <f>IFERROR(VLOOKUP(Q1,'Discounts par marque'!$A:$G,3,FALSE),0)</f>
        <v/>
      </c>
      <c r="R34" s="18">
        <f>IFERROR(VLOOKUP(R1,'Discounts par marque'!$A:$G,3,FALSE),0)</f>
        <v/>
      </c>
      <c r="S34" s="18">
        <f>IFERROR(VLOOKUP(S1,'Discounts par marque'!$A:$G,3,FALSE),0)</f>
        <v/>
      </c>
      <c r="T34" s="18">
        <f>IFERROR(VLOOKUP(T1,'Discounts par marque'!$A:$G,3,FALSE),0)</f>
        <v/>
      </c>
      <c r="U34" s="18">
        <f>IFERROR(VLOOKUP(U1,'Discounts par marque'!$A:$G,3,FALSE),0)</f>
        <v/>
      </c>
      <c r="V34" s="18">
        <f>IFERROR(VLOOKUP(V1,'Discounts par marque'!$A:$G,3,FALSE),0)</f>
        <v/>
      </c>
      <c r="W34" s="18">
        <f>IFERROR(VLOOKUP(W1,'Discounts par marque'!$A:$G,3,FALSE),0)</f>
        <v/>
      </c>
      <c r="X34" s="18">
        <f>IFERROR(VLOOKUP(X1,'Discounts par marque'!$A:$G,3,FALSE),0)</f>
        <v/>
      </c>
      <c r="Y34" s="18">
        <f>IFERROR(VLOOKUP(Y1,'Discounts par marque'!$A:$G,3,FALSE),0)</f>
        <v/>
      </c>
      <c r="Z34" s="18">
        <f>IFERROR(VLOOKUP(Z1,'Discounts par marque'!$A:$G,3,FALSE),0)</f>
        <v/>
      </c>
      <c r="AA34" s="18">
        <f>IFERROR(VLOOKUP(AA1,'Discounts par marque'!$A:$G,3,FALSE),0)</f>
        <v/>
      </c>
      <c r="AB34" s="18">
        <f>IFERROR(VLOOKUP(AB1,'Discounts par marque'!$A:$G,3,FALSE),0)</f>
        <v/>
      </c>
      <c r="AC34" s="18">
        <f>IFERROR(VLOOKUP(AC1,'Discounts par marque'!$A:$G,3,FALSE),0)</f>
        <v/>
      </c>
      <c r="AD34" s="18">
        <f>IFERROR(VLOOKUP(AD1,'Discounts par marque'!$A:$G,3,FALSE),0)</f>
        <v/>
      </c>
      <c r="AE34" s="18">
        <f>IFERROR(VLOOKUP(AE1,'Discounts par marque'!$A:$G,3,FALSE),0)</f>
        <v/>
      </c>
      <c r="AF34" s="18">
        <f>IFERROR(VLOOKUP(AF1,'Discounts par marque'!$A:$G,3,FALSE),0)</f>
        <v/>
      </c>
      <c r="AG34" s="18">
        <f>IFERROR(VLOOKUP(AG1,'Discounts par marque'!$A:$G,3,FALSE),0)</f>
        <v/>
      </c>
      <c r="AH34" s="18">
        <f>IFERROR(VLOOKUP(AH1,'Discounts par marque'!$A:$G,3,FALSE),0)</f>
        <v/>
      </c>
      <c r="AI34" s="18">
        <f>IFERROR(VLOOKUP(AI1,'Discounts par marque'!$A:$G,3,FALSE),0)</f>
        <v/>
      </c>
      <c r="AJ34" s="18">
        <f>IFERROR(VLOOKUP(AJ1,'Discounts par marque'!$A:$G,3,FALSE),0)</f>
        <v/>
      </c>
      <c r="AK34" s="18">
        <f>IFERROR(VLOOKUP(AK1,'Discounts par marque'!$A:$G,3,FALSE),0)</f>
        <v/>
      </c>
      <c r="AL34" s="18">
        <f>IFERROR(VLOOKUP(AL1,'Discounts par marque'!$A:$G,3,FALSE),0)</f>
        <v/>
      </c>
      <c r="AM34" s="18">
        <f>IFERROR(VLOOKUP(AM1,'Discounts par marque'!$A:$G,3,FALSE),0)</f>
        <v/>
      </c>
      <c r="AN34" s="18">
        <f>IFERROR(VLOOKUP(AN1,'Discounts par marque'!$A:$G,3,FALSE),0)</f>
        <v/>
      </c>
      <c r="AO34" s="18">
        <f>IFERROR(VLOOKUP(AO1,'Discounts par marque'!$A:$G,3,FALSE),0)</f>
        <v/>
      </c>
      <c r="AP34" s="18">
        <f>IFERROR(VLOOKUP(AP1,'Discounts par marque'!$A:$G,3,FALSE),0)</f>
        <v/>
      </c>
      <c r="AQ34" s="18">
        <f>IFERROR(VLOOKUP(AQ1,'Discounts par marque'!$A:$G,3,FALSE),0)</f>
        <v/>
      </c>
      <c r="AR34" s="18">
        <f>IFERROR(VLOOKUP(AR1,'Discounts par marque'!$A:$G,3,FALSE),0)</f>
        <v/>
      </c>
      <c r="AS34" s="18">
        <f>IFERROR(VLOOKUP(AS1,'Discounts par marque'!$A:$G,3,FALSE),0)</f>
        <v/>
      </c>
      <c r="AT34" s="18">
        <f>IFERROR(VLOOKUP(AT1,'Discounts par marque'!$A:$G,3,FALSE),0)</f>
        <v/>
      </c>
      <c r="AU34" s="18">
        <f>IFERROR(VLOOKUP(AU1,'Discounts par marque'!$A:$G,3,FALSE),0)</f>
        <v/>
      </c>
      <c r="AV34" s="18">
        <f>IFERROR(VLOOKUP(AV1,'Discounts par marque'!$A:$G,3,FALSE),0)</f>
        <v/>
      </c>
      <c r="AW34" s="18">
        <f>IFERROR(VLOOKUP(AW1,'Discounts par marque'!$A:$G,3,FALSE),0)</f>
        <v/>
      </c>
      <c r="AX34" s="18">
        <f>IFERROR(VLOOKUP(AX1,'Discounts par marque'!$A:$G,3,FALSE),0)</f>
        <v/>
      </c>
      <c r="AY34" s="18">
        <f>IFERROR(VLOOKUP(AY1,'Discounts par marque'!$A:$G,3,FALSE),0)</f>
        <v/>
      </c>
    </row>
    <row r="35">
      <c r="A35" s="4" t="inlineStr">
        <is>
          <t>Remise client standard (%)</t>
        </is>
      </c>
      <c r="B35" s="17">
        <f>IFERROR(VLOOKUP(B1,'Discounts par marque'!$A:$G,4,FALSE),0)</f>
        <v/>
      </c>
      <c r="C35" s="17">
        <f>IFERROR(VLOOKUP(C1,'Discounts par marque'!$A:$G,4,FALSE),0)</f>
        <v/>
      </c>
      <c r="D35" s="17">
        <f>IFERROR(VLOOKUP(D1,'Discounts par marque'!$A:$G,4,FALSE),0)</f>
        <v/>
      </c>
      <c r="E35" s="17">
        <f>IFERROR(VLOOKUP(E1,'Discounts par marque'!$A:$G,4,FALSE),0)</f>
        <v/>
      </c>
      <c r="F35" s="17">
        <f>IFERROR(VLOOKUP(F1,'Discounts par marque'!$A:$G,4,FALSE),0)</f>
        <v/>
      </c>
      <c r="G35" s="18">
        <f>IFERROR(VLOOKUP(G1,'Discounts par marque'!$A:$G,4,FALSE),0)</f>
        <v/>
      </c>
      <c r="H35" s="18">
        <f>IFERROR(VLOOKUP(H1,'Discounts par marque'!$A:$G,4,FALSE),0)</f>
        <v/>
      </c>
      <c r="I35" s="18">
        <f>IFERROR(VLOOKUP(I1,'Discounts par marque'!$A:$G,4,FALSE),0)</f>
        <v/>
      </c>
      <c r="J35" s="18">
        <f>IFERROR(VLOOKUP(J1,'Discounts par marque'!$A:$G,4,FALSE),0)</f>
        <v/>
      </c>
      <c r="K35" s="18">
        <f>IFERROR(VLOOKUP(K1,'Discounts par marque'!$A:$G,4,FALSE),0)</f>
        <v/>
      </c>
      <c r="L35" s="18">
        <f>IFERROR(VLOOKUP(L1,'Discounts par marque'!$A:$G,4,FALSE),0)</f>
        <v/>
      </c>
      <c r="M35" s="18">
        <f>IFERROR(VLOOKUP(M1,'Discounts par marque'!$A:$G,4,FALSE),0)</f>
        <v/>
      </c>
      <c r="N35" s="18">
        <f>IFERROR(VLOOKUP(N1,'Discounts par marque'!$A:$G,4,FALSE),0)</f>
        <v/>
      </c>
      <c r="O35" s="18">
        <f>IFERROR(VLOOKUP(O1,'Discounts par marque'!$A:$G,4,FALSE),0)</f>
        <v/>
      </c>
      <c r="P35" s="18">
        <f>IFERROR(VLOOKUP(P1,'Discounts par marque'!$A:$G,4,FALSE),0)</f>
        <v/>
      </c>
      <c r="Q35" s="18">
        <f>IFERROR(VLOOKUP(Q1,'Discounts par marque'!$A:$G,4,FALSE),0)</f>
        <v/>
      </c>
      <c r="R35" s="18">
        <f>IFERROR(VLOOKUP(R1,'Discounts par marque'!$A:$G,4,FALSE),0)</f>
        <v/>
      </c>
      <c r="S35" s="18">
        <f>IFERROR(VLOOKUP(S1,'Discounts par marque'!$A:$G,4,FALSE),0)</f>
        <v/>
      </c>
      <c r="T35" s="18">
        <f>IFERROR(VLOOKUP(T1,'Discounts par marque'!$A:$G,4,FALSE),0)</f>
        <v/>
      </c>
      <c r="U35" s="18">
        <f>IFERROR(VLOOKUP(U1,'Discounts par marque'!$A:$G,4,FALSE),0)</f>
        <v/>
      </c>
      <c r="V35" s="18">
        <f>IFERROR(VLOOKUP(V1,'Discounts par marque'!$A:$G,4,FALSE),0)</f>
        <v/>
      </c>
      <c r="W35" s="18">
        <f>IFERROR(VLOOKUP(W1,'Discounts par marque'!$A:$G,4,FALSE),0)</f>
        <v/>
      </c>
      <c r="X35" s="18">
        <f>IFERROR(VLOOKUP(X1,'Discounts par marque'!$A:$G,4,FALSE),0)</f>
        <v/>
      </c>
      <c r="Y35" s="18">
        <f>IFERROR(VLOOKUP(Y1,'Discounts par marque'!$A:$G,4,FALSE),0)</f>
        <v/>
      </c>
      <c r="Z35" s="18">
        <f>IFERROR(VLOOKUP(Z1,'Discounts par marque'!$A:$G,4,FALSE),0)</f>
        <v/>
      </c>
      <c r="AA35" s="18">
        <f>IFERROR(VLOOKUP(AA1,'Discounts par marque'!$A:$G,4,FALSE),0)</f>
        <v/>
      </c>
      <c r="AB35" s="18">
        <f>IFERROR(VLOOKUP(AB1,'Discounts par marque'!$A:$G,4,FALSE),0)</f>
        <v/>
      </c>
      <c r="AC35" s="18">
        <f>IFERROR(VLOOKUP(AC1,'Discounts par marque'!$A:$G,4,FALSE),0)</f>
        <v/>
      </c>
      <c r="AD35" s="18">
        <f>IFERROR(VLOOKUP(AD1,'Discounts par marque'!$A:$G,4,FALSE),0)</f>
        <v/>
      </c>
      <c r="AE35" s="18">
        <f>IFERROR(VLOOKUP(AE1,'Discounts par marque'!$A:$G,4,FALSE),0)</f>
        <v/>
      </c>
      <c r="AF35" s="18">
        <f>IFERROR(VLOOKUP(AF1,'Discounts par marque'!$A:$G,4,FALSE),0)</f>
        <v/>
      </c>
      <c r="AG35" s="18">
        <f>IFERROR(VLOOKUP(AG1,'Discounts par marque'!$A:$G,4,FALSE),0)</f>
        <v/>
      </c>
      <c r="AH35" s="18">
        <f>IFERROR(VLOOKUP(AH1,'Discounts par marque'!$A:$G,4,FALSE),0)</f>
        <v/>
      </c>
      <c r="AI35" s="18">
        <f>IFERROR(VLOOKUP(AI1,'Discounts par marque'!$A:$G,4,FALSE),0)</f>
        <v/>
      </c>
      <c r="AJ35" s="18">
        <f>IFERROR(VLOOKUP(AJ1,'Discounts par marque'!$A:$G,4,FALSE),0)</f>
        <v/>
      </c>
      <c r="AK35" s="18">
        <f>IFERROR(VLOOKUP(AK1,'Discounts par marque'!$A:$G,4,FALSE),0)</f>
        <v/>
      </c>
      <c r="AL35" s="18">
        <f>IFERROR(VLOOKUP(AL1,'Discounts par marque'!$A:$G,4,FALSE),0)</f>
        <v/>
      </c>
      <c r="AM35" s="18">
        <f>IFERROR(VLOOKUP(AM1,'Discounts par marque'!$A:$G,4,FALSE),0)</f>
        <v/>
      </c>
      <c r="AN35" s="18">
        <f>IFERROR(VLOOKUP(AN1,'Discounts par marque'!$A:$G,4,FALSE),0)</f>
        <v/>
      </c>
      <c r="AO35" s="18">
        <f>IFERROR(VLOOKUP(AO1,'Discounts par marque'!$A:$G,4,FALSE),0)</f>
        <v/>
      </c>
      <c r="AP35" s="18">
        <f>IFERROR(VLOOKUP(AP1,'Discounts par marque'!$A:$G,4,FALSE),0)</f>
        <v/>
      </c>
      <c r="AQ35" s="18">
        <f>IFERROR(VLOOKUP(AQ1,'Discounts par marque'!$A:$G,4,FALSE),0)</f>
        <v/>
      </c>
      <c r="AR35" s="18">
        <f>IFERROR(VLOOKUP(AR1,'Discounts par marque'!$A:$G,4,FALSE),0)</f>
        <v/>
      </c>
      <c r="AS35" s="18">
        <f>IFERROR(VLOOKUP(AS1,'Discounts par marque'!$A:$G,4,FALSE),0)</f>
        <v/>
      </c>
      <c r="AT35" s="18">
        <f>IFERROR(VLOOKUP(AT1,'Discounts par marque'!$A:$G,4,FALSE),0)</f>
        <v/>
      </c>
      <c r="AU35" s="18">
        <f>IFERROR(VLOOKUP(AU1,'Discounts par marque'!$A:$G,4,FALSE),0)</f>
        <v/>
      </c>
      <c r="AV35" s="18">
        <f>IFERROR(VLOOKUP(AV1,'Discounts par marque'!$A:$G,4,FALSE),0)</f>
        <v/>
      </c>
      <c r="AW35" s="18">
        <f>IFERROR(VLOOKUP(AW1,'Discounts par marque'!$A:$G,4,FALSE),0)</f>
        <v/>
      </c>
      <c r="AX35" s="18">
        <f>IFERROR(VLOOKUP(AX1,'Discounts par marque'!$A:$G,4,FALSE),0)</f>
        <v/>
      </c>
      <c r="AY35" s="18">
        <f>IFERROR(VLOOKUP(AY1,'Discounts par marque'!$A:$G,4,FALSE),0)</f>
        <v/>
      </c>
    </row>
    <row r="36">
      <c r="A36" s="4" t="inlineStr">
        <is>
          <t>Remise client averti (%)</t>
        </is>
      </c>
      <c r="B36" s="17">
        <f>IFERROR(VLOOKUP(B1,'Discounts par marque'!$A:$G,5,FALSE),0)</f>
        <v/>
      </c>
      <c r="C36" s="17">
        <f>IFERROR(VLOOKUP(C1,'Discounts par marque'!$A:$G,5,FALSE),0)</f>
        <v/>
      </c>
      <c r="D36" s="17">
        <f>IFERROR(VLOOKUP(D1,'Discounts par marque'!$A:$G,5,FALSE),0)</f>
        <v/>
      </c>
      <c r="E36" s="17">
        <f>IFERROR(VLOOKUP(E1,'Discounts par marque'!$A:$G,5,FALSE),0)</f>
        <v/>
      </c>
      <c r="F36" s="17">
        <f>IFERROR(VLOOKUP(F1,'Discounts par marque'!$A:$G,5,FALSE),0)</f>
        <v/>
      </c>
      <c r="G36" s="18">
        <f>IFERROR(VLOOKUP(G1,'Discounts par marque'!$A:$G,5,FALSE),0)</f>
        <v/>
      </c>
      <c r="H36" s="18">
        <f>IFERROR(VLOOKUP(H1,'Discounts par marque'!$A:$G,5,FALSE),0)</f>
        <v/>
      </c>
      <c r="I36" s="18">
        <f>IFERROR(VLOOKUP(I1,'Discounts par marque'!$A:$G,5,FALSE),0)</f>
        <v/>
      </c>
      <c r="J36" s="18">
        <f>IFERROR(VLOOKUP(J1,'Discounts par marque'!$A:$G,5,FALSE),0)</f>
        <v/>
      </c>
      <c r="K36" s="18">
        <f>IFERROR(VLOOKUP(K1,'Discounts par marque'!$A:$G,5,FALSE),0)</f>
        <v/>
      </c>
      <c r="L36" s="18">
        <f>IFERROR(VLOOKUP(L1,'Discounts par marque'!$A:$G,5,FALSE),0)</f>
        <v/>
      </c>
      <c r="M36" s="18">
        <f>IFERROR(VLOOKUP(M1,'Discounts par marque'!$A:$G,5,FALSE),0)</f>
        <v/>
      </c>
      <c r="N36" s="18">
        <f>IFERROR(VLOOKUP(N1,'Discounts par marque'!$A:$G,5,FALSE),0)</f>
        <v/>
      </c>
      <c r="O36" s="18">
        <f>IFERROR(VLOOKUP(O1,'Discounts par marque'!$A:$G,5,FALSE),0)</f>
        <v/>
      </c>
      <c r="P36" s="18">
        <f>IFERROR(VLOOKUP(P1,'Discounts par marque'!$A:$G,5,FALSE),0)</f>
        <v/>
      </c>
      <c r="Q36" s="18">
        <f>IFERROR(VLOOKUP(Q1,'Discounts par marque'!$A:$G,5,FALSE),0)</f>
        <v/>
      </c>
      <c r="R36" s="18">
        <f>IFERROR(VLOOKUP(R1,'Discounts par marque'!$A:$G,5,FALSE),0)</f>
        <v/>
      </c>
      <c r="S36" s="18">
        <f>IFERROR(VLOOKUP(S1,'Discounts par marque'!$A:$G,5,FALSE),0)</f>
        <v/>
      </c>
      <c r="T36" s="18">
        <f>IFERROR(VLOOKUP(T1,'Discounts par marque'!$A:$G,5,FALSE),0)</f>
        <v/>
      </c>
      <c r="U36" s="18">
        <f>IFERROR(VLOOKUP(U1,'Discounts par marque'!$A:$G,5,FALSE),0)</f>
        <v/>
      </c>
      <c r="V36" s="18">
        <f>IFERROR(VLOOKUP(V1,'Discounts par marque'!$A:$G,5,FALSE),0)</f>
        <v/>
      </c>
      <c r="W36" s="18">
        <f>IFERROR(VLOOKUP(W1,'Discounts par marque'!$A:$G,5,FALSE),0)</f>
        <v/>
      </c>
      <c r="X36" s="18">
        <f>IFERROR(VLOOKUP(X1,'Discounts par marque'!$A:$G,5,FALSE),0)</f>
        <v/>
      </c>
      <c r="Y36" s="18">
        <f>IFERROR(VLOOKUP(Y1,'Discounts par marque'!$A:$G,5,FALSE),0)</f>
        <v/>
      </c>
      <c r="Z36" s="18">
        <f>IFERROR(VLOOKUP(Z1,'Discounts par marque'!$A:$G,5,FALSE),0)</f>
        <v/>
      </c>
      <c r="AA36" s="18">
        <f>IFERROR(VLOOKUP(AA1,'Discounts par marque'!$A:$G,5,FALSE),0)</f>
        <v/>
      </c>
      <c r="AB36" s="18">
        <f>IFERROR(VLOOKUP(AB1,'Discounts par marque'!$A:$G,5,FALSE),0)</f>
        <v/>
      </c>
      <c r="AC36" s="18">
        <f>IFERROR(VLOOKUP(AC1,'Discounts par marque'!$A:$G,5,FALSE),0)</f>
        <v/>
      </c>
      <c r="AD36" s="18">
        <f>IFERROR(VLOOKUP(AD1,'Discounts par marque'!$A:$G,5,FALSE),0)</f>
        <v/>
      </c>
      <c r="AE36" s="18">
        <f>IFERROR(VLOOKUP(AE1,'Discounts par marque'!$A:$G,5,FALSE),0)</f>
        <v/>
      </c>
      <c r="AF36" s="18">
        <f>IFERROR(VLOOKUP(AF1,'Discounts par marque'!$A:$G,5,FALSE),0)</f>
        <v/>
      </c>
      <c r="AG36" s="18">
        <f>IFERROR(VLOOKUP(AG1,'Discounts par marque'!$A:$G,5,FALSE),0)</f>
        <v/>
      </c>
      <c r="AH36" s="18">
        <f>IFERROR(VLOOKUP(AH1,'Discounts par marque'!$A:$G,5,FALSE),0)</f>
        <v/>
      </c>
      <c r="AI36" s="18">
        <f>IFERROR(VLOOKUP(AI1,'Discounts par marque'!$A:$G,5,FALSE),0)</f>
        <v/>
      </c>
      <c r="AJ36" s="18">
        <f>IFERROR(VLOOKUP(AJ1,'Discounts par marque'!$A:$G,5,FALSE),0)</f>
        <v/>
      </c>
      <c r="AK36" s="18">
        <f>IFERROR(VLOOKUP(AK1,'Discounts par marque'!$A:$G,5,FALSE),0)</f>
        <v/>
      </c>
      <c r="AL36" s="18">
        <f>IFERROR(VLOOKUP(AL1,'Discounts par marque'!$A:$G,5,FALSE),0)</f>
        <v/>
      </c>
      <c r="AM36" s="18">
        <f>IFERROR(VLOOKUP(AM1,'Discounts par marque'!$A:$G,5,FALSE),0)</f>
        <v/>
      </c>
      <c r="AN36" s="18">
        <f>IFERROR(VLOOKUP(AN1,'Discounts par marque'!$A:$G,5,FALSE),0)</f>
        <v/>
      </c>
      <c r="AO36" s="18">
        <f>IFERROR(VLOOKUP(AO1,'Discounts par marque'!$A:$G,5,FALSE),0)</f>
        <v/>
      </c>
      <c r="AP36" s="18">
        <f>IFERROR(VLOOKUP(AP1,'Discounts par marque'!$A:$G,5,FALSE),0)</f>
        <v/>
      </c>
      <c r="AQ36" s="18">
        <f>IFERROR(VLOOKUP(AQ1,'Discounts par marque'!$A:$G,5,FALSE),0)</f>
        <v/>
      </c>
      <c r="AR36" s="18">
        <f>IFERROR(VLOOKUP(AR1,'Discounts par marque'!$A:$G,5,FALSE),0)</f>
        <v/>
      </c>
      <c r="AS36" s="18">
        <f>IFERROR(VLOOKUP(AS1,'Discounts par marque'!$A:$G,5,FALSE),0)</f>
        <v/>
      </c>
      <c r="AT36" s="18">
        <f>IFERROR(VLOOKUP(AT1,'Discounts par marque'!$A:$G,5,FALSE),0)</f>
        <v/>
      </c>
      <c r="AU36" s="18">
        <f>IFERROR(VLOOKUP(AU1,'Discounts par marque'!$A:$G,5,FALSE),0)</f>
        <v/>
      </c>
      <c r="AV36" s="18">
        <f>IFERROR(VLOOKUP(AV1,'Discounts par marque'!$A:$G,5,FALSE),0)</f>
        <v/>
      </c>
      <c r="AW36" s="18">
        <f>IFERROR(VLOOKUP(AW1,'Discounts par marque'!$A:$G,5,FALSE),0)</f>
        <v/>
      </c>
      <c r="AX36" s="18">
        <f>IFERROR(VLOOKUP(AX1,'Discounts par marque'!$A:$G,5,FALSE),0)</f>
        <v/>
      </c>
      <c r="AY36" s="18">
        <f>IFERROR(VLOOKUP(AY1,'Discounts par marque'!$A:$G,5,FALSE),0)</f>
        <v/>
      </c>
    </row>
    <row r="37">
      <c r="A37" s="4" t="inlineStr">
        <is>
          <t>Remise plafond observé (%)</t>
        </is>
      </c>
      <c r="B37" s="17">
        <f>IFERROR(VLOOKUP(B1,'Discounts par marque'!$A:$G,6,FALSE),0)</f>
        <v/>
      </c>
      <c r="C37" s="17">
        <f>IFERROR(VLOOKUP(C1,'Discounts par marque'!$A:$G,6,FALSE),0)</f>
        <v/>
      </c>
      <c r="D37" s="17">
        <f>IFERROR(VLOOKUP(D1,'Discounts par marque'!$A:$G,6,FALSE),0)</f>
        <v/>
      </c>
      <c r="E37" s="17">
        <f>IFERROR(VLOOKUP(E1,'Discounts par marque'!$A:$G,6,FALSE),0)</f>
        <v/>
      </c>
      <c r="F37" s="17">
        <f>IFERROR(VLOOKUP(F1,'Discounts par marque'!$A:$G,6,FALSE),0)</f>
        <v/>
      </c>
      <c r="G37" s="18">
        <f>IFERROR(VLOOKUP(G1,'Discounts par marque'!$A:$G,6,FALSE),0)</f>
        <v/>
      </c>
      <c r="H37" s="18">
        <f>IFERROR(VLOOKUP(H1,'Discounts par marque'!$A:$G,6,FALSE),0)</f>
        <v/>
      </c>
      <c r="I37" s="18">
        <f>IFERROR(VLOOKUP(I1,'Discounts par marque'!$A:$G,6,FALSE),0)</f>
        <v/>
      </c>
      <c r="J37" s="18">
        <f>IFERROR(VLOOKUP(J1,'Discounts par marque'!$A:$G,6,FALSE),0)</f>
        <v/>
      </c>
      <c r="K37" s="18">
        <f>IFERROR(VLOOKUP(K1,'Discounts par marque'!$A:$G,6,FALSE),0)</f>
        <v/>
      </c>
      <c r="L37" s="18">
        <f>IFERROR(VLOOKUP(L1,'Discounts par marque'!$A:$G,6,FALSE),0)</f>
        <v/>
      </c>
      <c r="M37" s="18">
        <f>IFERROR(VLOOKUP(M1,'Discounts par marque'!$A:$G,6,FALSE),0)</f>
        <v/>
      </c>
      <c r="N37" s="18">
        <f>IFERROR(VLOOKUP(N1,'Discounts par marque'!$A:$G,6,FALSE),0)</f>
        <v/>
      </c>
      <c r="O37" s="18">
        <f>IFERROR(VLOOKUP(O1,'Discounts par marque'!$A:$G,6,FALSE),0)</f>
        <v/>
      </c>
      <c r="P37" s="18">
        <f>IFERROR(VLOOKUP(P1,'Discounts par marque'!$A:$G,6,FALSE),0)</f>
        <v/>
      </c>
      <c r="Q37" s="18">
        <f>IFERROR(VLOOKUP(Q1,'Discounts par marque'!$A:$G,6,FALSE),0)</f>
        <v/>
      </c>
      <c r="R37" s="18">
        <f>IFERROR(VLOOKUP(R1,'Discounts par marque'!$A:$G,6,FALSE),0)</f>
        <v/>
      </c>
      <c r="S37" s="18">
        <f>IFERROR(VLOOKUP(S1,'Discounts par marque'!$A:$G,6,FALSE),0)</f>
        <v/>
      </c>
      <c r="T37" s="18">
        <f>IFERROR(VLOOKUP(T1,'Discounts par marque'!$A:$G,6,FALSE),0)</f>
        <v/>
      </c>
      <c r="U37" s="18">
        <f>IFERROR(VLOOKUP(U1,'Discounts par marque'!$A:$G,6,FALSE),0)</f>
        <v/>
      </c>
      <c r="V37" s="18">
        <f>IFERROR(VLOOKUP(V1,'Discounts par marque'!$A:$G,6,FALSE),0)</f>
        <v/>
      </c>
      <c r="W37" s="18">
        <f>IFERROR(VLOOKUP(W1,'Discounts par marque'!$A:$G,6,FALSE),0)</f>
        <v/>
      </c>
      <c r="X37" s="18">
        <f>IFERROR(VLOOKUP(X1,'Discounts par marque'!$A:$G,6,FALSE),0)</f>
        <v/>
      </c>
      <c r="Y37" s="18">
        <f>IFERROR(VLOOKUP(Y1,'Discounts par marque'!$A:$G,6,FALSE),0)</f>
        <v/>
      </c>
      <c r="Z37" s="18">
        <f>IFERROR(VLOOKUP(Z1,'Discounts par marque'!$A:$G,6,FALSE),0)</f>
        <v/>
      </c>
      <c r="AA37" s="18">
        <f>IFERROR(VLOOKUP(AA1,'Discounts par marque'!$A:$G,6,FALSE),0)</f>
        <v/>
      </c>
      <c r="AB37" s="18">
        <f>IFERROR(VLOOKUP(AB1,'Discounts par marque'!$A:$G,6,FALSE),0)</f>
        <v/>
      </c>
      <c r="AC37" s="18">
        <f>IFERROR(VLOOKUP(AC1,'Discounts par marque'!$A:$G,6,FALSE),0)</f>
        <v/>
      </c>
      <c r="AD37" s="18">
        <f>IFERROR(VLOOKUP(AD1,'Discounts par marque'!$A:$G,6,FALSE),0)</f>
        <v/>
      </c>
      <c r="AE37" s="18">
        <f>IFERROR(VLOOKUP(AE1,'Discounts par marque'!$A:$G,6,FALSE),0)</f>
        <v/>
      </c>
      <c r="AF37" s="18">
        <f>IFERROR(VLOOKUP(AF1,'Discounts par marque'!$A:$G,6,FALSE),0)</f>
        <v/>
      </c>
      <c r="AG37" s="18">
        <f>IFERROR(VLOOKUP(AG1,'Discounts par marque'!$A:$G,6,FALSE),0)</f>
        <v/>
      </c>
      <c r="AH37" s="18">
        <f>IFERROR(VLOOKUP(AH1,'Discounts par marque'!$A:$G,6,FALSE),0)</f>
        <v/>
      </c>
      <c r="AI37" s="18">
        <f>IFERROR(VLOOKUP(AI1,'Discounts par marque'!$A:$G,6,FALSE),0)</f>
        <v/>
      </c>
      <c r="AJ37" s="18">
        <f>IFERROR(VLOOKUP(AJ1,'Discounts par marque'!$A:$G,6,FALSE),0)</f>
        <v/>
      </c>
      <c r="AK37" s="18">
        <f>IFERROR(VLOOKUP(AK1,'Discounts par marque'!$A:$G,6,FALSE),0)</f>
        <v/>
      </c>
      <c r="AL37" s="18">
        <f>IFERROR(VLOOKUP(AL1,'Discounts par marque'!$A:$G,6,FALSE),0)</f>
        <v/>
      </c>
      <c r="AM37" s="18">
        <f>IFERROR(VLOOKUP(AM1,'Discounts par marque'!$A:$G,6,FALSE),0)</f>
        <v/>
      </c>
      <c r="AN37" s="18">
        <f>IFERROR(VLOOKUP(AN1,'Discounts par marque'!$A:$G,6,FALSE),0)</f>
        <v/>
      </c>
      <c r="AO37" s="18">
        <f>IFERROR(VLOOKUP(AO1,'Discounts par marque'!$A:$G,6,FALSE),0)</f>
        <v/>
      </c>
      <c r="AP37" s="18">
        <f>IFERROR(VLOOKUP(AP1,'Discounts par marque'!$A:$G,6,FALSE),0)</f>
        <v/>
      </c>
      <c r="AQ37" s="18">
        <f>IFERROR(VLOOKUP(AQ1,'Discounts par marque'!$A:$G,6,FALSE),0)</f>
        <v/>
      </c>
      <c r="AR37" s="18">
        <f>IFERROR(VLOOKUP(AR1,'Discounts par marque'!$A:$G,6,FALSE),0)</f>
        <v/>
      </c>
      <c r="AS37" s="18">
        <f>IFERROR(VLOOKUP(AS1,'Discounts par marque'!$A:$G,6,FALSE),0)</f>
        <v/>
      </c>
      <c r="AT37" s="18">
        <f>IFERROR(VLOOKUP(AT1,'Discounts par marque'!$A:$G,6,FALSE),0)</f>
        <v/>
      </c>
      <c r="AU37" s="18">
        <f>IFERROR(VLOOKUP(AU1,'Discounts par marque'!$A:$G,6,FALSE),0)</f>
        <v/>
      </c>
      <c r="AV37" s="18">
        <f>IFERROR(VLOOKUP(AV1,'Discounts par marque'!$A:$G,6,FALSE),0)</f>
        <v/>
      </c>
      <c r="AW37" s="18">
        <f>IFERROR(VLOOKUP(AW1,'Discounts par marque'!$A:$G,6,FALSE),0)</f>
        <v/>
      </c>
      <c r="AX37" s="18">
        <f>IFERROR(VLOOKUP(AX1,'Discounts par marque'!$A:$G,6,FALSE),0)</f>
        <v/>
      </c>
      <c r="AY37" s="18">
        <f>IFERROR(VLOOKUP(AY1,'Discounts par marque'!$A:$G,6,FALSE),0)</f>
        <v/>
      </c>
    </row>
    <row r="38">
      <c r="A38" s="4" t="inlineStr">
        <is>
          <t>Prix client standard (€)</t>
        </is>
      </c>
      <c r="B38" s="13">
        <f>IFERROR(B22*(1-B35/100),"")</f>
        <v/>
      </c>
      <c r="C38" s="13">
        <f>IFERROR(C22*(1-C35/100),"")</f>
        <v/>
      </c>
      <c r="D38" s="13">
        <f>IFERROR(D22*(1-D35/100),"")</f>
        <v/>
      </c>
      <c r="E38" s="13">
        <f>IFERROR(E22*(1-E35/100),"")</f>
        <v/>
      </c>
      <c r="F38" s="13">
        <f>IFERROR(F22*(1-F35/100),"")</f>
        <v/>
      </c>
      <c r="G38" s="14">
        <f>IFERROR(G22*(1-G35/100),"")</f>
        <v/>
      </c>
      <c r="H38" s="14">
        <f>IFERROR(H22*(1-H35/100),"")</f>
        <v/>
      </c>
      <c r="I38" s="14">
        <f>IFERROR(I22*(1-I35/100),"")</f>
        <v/>
      </c>
      <c r="J38" s="14">
        <f>IFERROR(J22*(1-J35/100),"")</f>
        <v/>
      </c>
      <c r="K38" s="14">
        <f>IFERROR(K22*(1-K35/100),"")</f>
        <v/>
      </c>
      <c r="L38" s="14">
        <f>IFERROR(L22*(1-L35/100),"")</f>
        <v/>
      </c>
      <c r="M38" s="14">
        <f>IFERROR(M22*(1-M35/100),"")</f>
        <v/>
      </c>
      <c r="N38" s="14">
        <f>IFERROR(N22*(1-N35/100),"")</f>
        <v/>
      </c>
      <c r="O38" s="14">
        <f>IFERROR(O22*(1-O35/100),"")</f>
        <v/>
      </c>
      <c r="P38" s="14">
        <f>IFERROR(P22*(1-P35/100),"")</f>
        <v/>
      </c>
      <c r="Q38" s="14">
        <f>IFERROR(Q22*(1-Q35/100),"")</f>
        <v/>
      </c>
      <c r="R38" s="14">
        <f>IFERROR(R22*(1-R35/100),"")</f>
        <v/>
      </c>
      <c r="S38" s="14">
        <f>IFERROR(S22*(1-S35/100),"")</f>
        <v/>
      </c>
      <c r="T38" s="14">
        <f>IFERROR(T22*(1-T35/100),"")</f>
        <v/>
      </c>
      <c r="U38" s="14">
        <f>IFERROR(U22*(1-U35/100),"")</f>
        <v/>
      </c>
      <c r="V38" s="14">
        <f>IFERROR(V22*(1-V35/100),"")</f>
        <v/>
      </c>
      <c r="W38" s="14">
        <f>IFERROR(W22*(1-W35/100),"")</f>
        <v/>
      </c>
      <c r="X38" s="14">
        <f>IFERROR(X22*(1-X35/100),"")</f>
        <v/>
      </c>
      <c r="Y38" s="14">
        <f>IFERROR(Y22*(1-Y35/100),"")</f>
        <v/>
      </c>
      <c r="Z38" s="14">
        <f>IFERROR(Z22*(1-Z35/100),"")</f>
        <v/>
      </c>
      <c r="AA38" s="14">
        <f>IFERROR(AA22*(1-AA35/100),"")</f>
        <v/>
      </c>
      <c r="AB38" s="14">
        <f>IFERROR(AB22*(1-AB35/100),"")</f>
        <v/>
      </c>
      <c r="AC38" s="14">
        <f>IFERROR(AC22*(1-AC35/100),"")</f>
        <v/>
      </c>
      <c r="AD38" s="14">
        <f>IFERROR(AD22*(1-AD35/100),"")</f>
        <v/>
      </c>
      <c r="AE38" s="14">
        <f>IFERROR(AE22*(1-AE35/100),"")</f>
        <v/>
      </c>
      <c r="AF38" s="14">
        <f>IFERROR(AF22*(1-AF35/100),"")</f>
        <v/>
      </c>
      <c r="AG38" s="14">
        <f>IFERROR(AG22*(1-AG35/100),"")</f>
        <v/>
      </c>
      <c r="AH38" s="14">
        <f>IFERROR(AH22*(1-AH35/100),"")</f>
        <v/>
      </c>
      <c r="AI38" s="14">
        <f>IFERROR(AI22*(1-AI35/100),"")</f>
        <v/>
      </c>
      <c r="AJ38" s="14">
        <f>IFERROR(AJ22*(1-AJ35/100),"")</f>
        <v/>
      </c>
      <c r="AK38" s="14">
        <f>IFERROR(AK22*(1-AK35/100),"")</f>
        <v/>
      </c>
      <c r="AL38" s="14">
        <f>IFERROR(AL22*(1-AL35/100),"")</f>
        <v/>
      </c>
      <c r="AM38" s="14">
        <f>IFERROR(AM22*(1-AM35/100),"")</f>
        <v/>
      </c>
      <c r="AN38" s="14">
        <f>IFERROR(AN22*(1-AN35/100),"")</f>
        <v/>
      </c>
      <c r="AO38" s="14">
        <f>IFERROR(AO22*(1-AO35/100),"")</f>
        <v/>
      </c>
      <c r="AP38" s="14">
        <f>IFERROR(AP22*(1-AP35/100),"")</f>
        <v/>
      </c>
      <c r="AQ38" s="14">
        <f>IFERROR(AQ22*(1-AQ35/100),"")</f>
        <v/>
      </c>
      <c r="AR38" s="14">
        <f>IFERROR(AR22*(1-AR35/100),"")</f>
        <v/>
      </c>
      <c r="AS38" s="14">
        <f>IFERROR(AS22*(1-AS35/100),"")</f>
        <v/>
      </c>
      <c r="AT38" s="14">
        <f>IFERROR(AT22*(1-AT35/100),"")</f>
        <v/>
      </c>
      <c r="AU38" s="14">
        <f>IFERROR(AU22*(1-AU35/100),"")</f>
        <v/>
      </c>
      <c r="AV38" s="14">
        <f>IFERROR(AV22*(1-AV35/100),"")</f>
        <v/>
      </c>
      <c r="AW38" s="14">
        <f>IFERROR(AW22*(1-AW35/100),"")</f>
        <v/>
      </c>
      <c r="AX38" s="14">
        <f>IFERROR(AX22*(1-AX35/100),"")</f>
        <v/>
      </c>
      <c r="AY38" s="14">
        <f>IFERROR(AY22*(1-AY35/100),"")</f>
        <v/>
      </c>
    </row>
    <row r="39">
      <c r="A39" s="4" t="inlineStr">
        <is>
          <t>Prix client averti (€)</t>
        </is>
      </c>
      <c r="B39" s="13">
        <f>IFERROR(B22*(1-B36/100),"")</f>
        <v/>
      </c>
      <c r="C39" s="13">
        <f>IFERROR(C22*(1-C36/100),"")</f>
        <v/>
      </c>
      <c r="D39" s="13">
        <f>IFERROR(D22*(1-D36/100),"")</f>
        <v/>
      </c>
      <c r="E39" s="13">
        <f>IFERROR(E22*(1-E36/100),"")</f>
        <v/>
      </c>
      <c r="F39" s="13">
        <f>IFERROR(F22*(1-F36/100),"")</f>
        <v/>
      </c>
      <c r="G39" s="14">
        <f>IFERROR(G22*(1-G36/100),"")</f>
        <v/>
      </c>
      <c r="H39" s="14">
        <f>IFERROR(H22*(1-H36/100),"")</f>
        <v/>
      </c>
      <c r="I39" s="14">
        <f>IFERROR(I22*(1-I36/100),"")</f>
        <v/>
      </c>
      <c r="J39" s="14">
        <f>IFERROR(J22*(1-J36/100),"")</f>
        <v/>
      </c>
      <c r="K39" s="14">
        <f>IFERROR(K22*(1-K36/100),"")</f>
        <v/>
      </c>
      <c r="L39" s="14">
        <f>IFERROR(L22*(1-L36/100),"")</f>
        <v/>
      </c>
      <c r="M39" s="14">
        <f>IFERROR(M22*(1-M36/100),"")</f>
        <v/>
      </c>
      <c r="N39" s="14">
        <f>IFERROR(N22*(1-N36/100),"")</f>
        <v/>
      </c>
      <c r="O39" s="14">
        <f>IFERROR(O22*(1-O36/100),"")</f>
        <v/>
      </c>
      <c r="P39" s="14">
        <f>IFERROR(P22*(1-P36/100),"")</f>
        <v/>
      </c>
      <c r="Q39" s="14">
        <f>IFERROR(Q22*(1-Q36/100),"")</f>
        <v/>
      </c>
      <c r="R39" s="14">
        <f>IFERROR(R22*(1-R36/100),"")</f>
        <v/>
      </c>
      <c r="S39" s="14">
        <f>IFERROR(S22*(1-S36/100),"")</f>
        <v/>
      </c>
      <c r="T39" s="14">
        <f>IFERROR(T22*(1-T36/100),"")</f>
        <v/>
      </c>
      <c r="U39" s="14">
        <f>IFERROR(U22*(1-U36/100),"")</f>
        <v/>
      </c>
      <c r="V39" s="14">
        <f>IFERROR(V22*(1-V36/100),"")</f>
        <v/>
      </c>
      <c r="W39" s="14">
        <f>IFERROR(W22*(1-W36/100),"")</f>
        <v/>
      </c>
      <c r="X39" s="14">
        <f>IFERROR(X22*(1-X36/100),"")</f>
        <v/>
      </c>
      <c r="Y39" s="14">
        <f>IFERROR(Y22*(1-Y36/100),"")</f>
        <v/>
      </c>
      <c r="Z39" s="14">
        <f>IFERROR(Z22*(1-Z36/100),"")</f>
        <v/>
      </c>
      <c r="AA39" s="14">
        <f>IFERROR(AA22*(1-AA36/100),"")</f>
        <v/>
      </c>
      <c r="AB39" s="14">
        <f>IFERROR(AB22*(1-AB36/100),"")</f>
        <v/>
      </c>
      <c r="AC39" s="14">
        <f>IFERROR(AC22*(1-AC36/100),"")</f>
        <v/>
      </c>
      <c r="AD39" s="14">
        <f>IFERROR(AD22*(1-AD36/100),"")</f>
        <v/>
      </c>
      <c r="AE39" s="14">
        <f>IFERROR(AE22*(1-AE36/100),"")</f>
        <v/>
      </c>
      <c r="AF39" s="14">
        <f>IFERROR(AF22*(1-AF36/100),"")</f>
        <v/>
      </c>
      <c r="AG39" s="14">
        <f>IFERROR(AG22*(1-AG36/100),"")</f>
        <v/>
      </c>
      <c r="AH39" s="14">
        <f>IFERROR(AH22*(1-AH36/100),"")</f>
        <v/>
      </c>
      <c r="AI39" s="14">
        <f>IFERROR(AI22*(1-AI36/100),"")</f>
        <v/>
      </c>
      <c r="AJ39" s="14">
        <f>IFERROR(AJ22*(1-AJ36/100),"")</f>
        <v/>
      </c>
      <c r="AK39" s="14">
        <f>IFERROR(AK22*(1-AK36/100),"")</f>
        <v/>
      </c>
      <c r="AL39" s="14">
        <f>IFERROR(AL22*(1-AL36/100),"")</f>
        <v/>
      </c>
      <c r="AM39" s="14">
        <f>IFERROR(AM22*(1-AM36/100),"")</f>
        <v/>
      </c>
      <c r="AN39" s="14">
        <f>IFERROR(AN22*(1-AN36/100),"")</f>
        <v/>
      </c>
      <c r="AO39" s="14">
        <f>IFERROR(AO22*(1-AO36/100),"")</f>
        <v/>
      </c>
      <c r="AP39" s="14">
        <f>IFERROR(AP22*(1-AP36/100),"")</f>
        <v/>
      </c>
      <c r="AQ39" s="14">
        <f>IFERROR(AQ22*(1-AQ36/100),"")</f>
        <v/>
      </c>
      <c r="AR39" s="14">
        <f>IFERROR(AR22*(1-AR36/100),"")</f>
        <v/>
      </c>
      <c r="AS39" s="14">
        <f>IFERROR(AS22*(1-AS36/100),"")</f>
        <v/>
      </c>
      <c r="AT39" s="14">
        <f>IFERROR(AT22*(1-AT36/100),"")</f>
        <v/>
      </c>
      <c r="AU39" s="14">
        <f>IFERROR(AU22*(1-AU36/100),"")</f>
        <v/>
      </c>
      <c r="AV39" s="14">
        <f>IFERROR(AV22*(1-AV36/100),"")</f>
        <v/>
      </c>
      <c r="AW39" s="14">
        <f>IFERROR(AW22*(1-AW36/100),"")</f>
        <v/>
      </c>
      <c r="AX39" s="14">
        <f>IFERROR(AX22*(1-AX36/100),"")</f>
        <v/>
      </c>
      <c r="AY39" s="14">
        <f>IFERROR(AY22*(1-AY36/100),"")</f>
        <v/>
      </c>
    </row>
    <row r="40">
      <c r="A40" s="4" t="inlineStr">
        <is>
          <t>Prix plafond (€)</t>
        </is>
      </c>
      <c r="B40" s="13">
        <f>IFERROR(B22*(1-B37/100),"")</f>
        <v/>
      </c>
      <c r="C40" s="13">
        <f>IFERROR(C22*(1-C37/100),"")</f>
        <v/>
      </c>
      <c r="D40" s="13">
        <f>IFERROR(D22*(1-D37/100),"")</f>
        <v/>
      </c>
      <c r="E40" s="13">
        <f>IFERROR(E22*(1-E37/100),"")</f>
        <v/>
      </c>
      <c r="F40" s="13">
        <f>IFERROR(F22*(1-F37/100),"")</f>
        <v/>
      </c>
      <c r="G40" s="14">
        <f>IFERROR(G22*(1-G37/100),"")</f>
        <v/>
      </c>
      <c r="H40" s="14">
        <f>IFERROR(H22*(1-H37/100),"")</f>
        <v/>
      </c>
      <c r="I40" s="14">
        <f>IFERROR(I22*(1-I37/100),"")</f>
        <v/>
      </c>
      <c r="J40" s="14">
        <f>IFERROR(J22*(1-J37/100),"")</f>
        <v/>
      </c>
      <c r="K40" s="14">
        <f>IFERROR(K22*(1-K37/100),"")</f>
        <v/>
      </c>
      <c r="L40" s="14">
        <f>IFERROR(L22*(1-L37/100),"")</f>
        <v/>
      </c>
      <c r="M40" s="14">
        <f>IFERROR(M22*(1-M37/100),"")</f>
        <v/>
      </c>
      <c r="N40" s="14">
        <f>IFERROR(N22*(1-N37/100),"")</f>
        <v/>
      </c>
      <c r="O40" s="14">
        <f>IFERROR(O22*(1-O37/100),"")</f>
        <v/>
      </c>
      <c r="P40" s="14">
        <f>IFERROR(P22*(1-P37/100),"")</f>
        <v/>
      </c>
      <c r="Q40" s="14">
        <f>IFERROR(Q22*(1-Q37/100),"")</f>
        <v/>
      </c>
      <c r="R40" s="14">
        <f>IFERROR(R22*(1-R37/100),"")</f>
        <v/>
      </c>
      <c r="S40" s="14">
        <f>IFERROR(S22*(1-S37/100),"")</f>
        <v/>
      </c>
      <c r="T40" s="14">
        <f>IFERROR(T22*(1-T37/100),"")</f>
        <v/>
      </c>
      <c r="U40" s="14">
        <f>IFERROR(U22*(1-U37/100),"")</f>
        <v/>
      </c>
      <c r="V40" s="14">
        <f>IFERROR(V22*(1-V37/100),"")</f>
        <v/>
      </c>
      <c r="W40" s="14">
        <f>IFERROR(W22*(1-W37/100),"")</f>
        <v/>
      </c>
      <c r="X40" s="14">
        <f>IFERROR(X22*(1-X37/100),"")</f>
        <v/>
      </c>
      <c r="Y40" s="14">
        <f>IFERROR(Y22*(1-Y37/100),"")</f>
        <v/>
      </c>
      <c r="Z40" s="14">
        <f>IFERROR(Z22*(1-Z37/100),"")</f>
        <v/>
      </c>
      <c r="AA40" s="14">
        <f>IFERROR(AA22*(1-AA37/100),"")</f>
        <v/>
      </c>
      <c r="AB40" s="14">
        <f>IFERROR(AB22*(1-AB37/100),"")</f>
        <v/>
      </c>
      <c r="AC40" s="14">
        <f>IFERROR(AC22*(1-AC37/100),"")</f>
        <v/>
      </c>
      <c r="AD40" s="14">
        <f>IFERROR(AD22*(1-AD37/100),"")</f>
        <v/>
      </c>
      <c r="AE40" s="14">
        <f>IFERROR(AE22*(1-AE37/100),"")</f>
        <v/>
      </c>
      <c r="AF40" s="14">
        <f>IFERROR(AF22*(1-AF37/100),"")</f>
        <v/>
      </c>
      <c r="AG40" s="14">
        <f>IFERROR(AG22*(1-AG37/100),"")</f>
        <v/>
      </c>
      <c r="AH40" s="14">
        <f>IFERROR(AH22*(1-AH37/100),"")</f>
        <v/>
      </c>
      <c r="AI40" s="14">
        <f>IFERROR(AI22*(1-AI37/100),"")</f>
        <v/>
      </c>
      <c r="AJ40" s="14">
        <f>IFERROR(AJ22*(1-AJ37/100),"")</f>
        <v/>
      </c>
      <c r="AK40" s="14">
        <f>IFERROR(AK22*(1-AK37/100),"")</f>
        <v/>
      </c>
      <c r="AL40" s="14">
        <f>IFERROR(AL22*(1-AL37/100),"")</f>
        <v/>
      </c>
      <c r="AM40" s="14">
        <f>IFERROR(AM22*(1-AM37/100),"")</f>
        <v/>
      </c>
      <c r="AN40" s="14">
        <f>IFERROR(AN22*(1-AN37/100),"")</f>
        <v/>
      </c>
      <c r="AO40" s="14">
        <f>IFERROR(AO22*(1-AO37/100),"")</f>
        <v/>
      </c>
      <c r="AP40" s="14">
        <f>IFERROR(AP22*(1-AP37/100),"")</f>
        <v/>
      </c>
      <c r="AQ40" s="14">
        <f>IFERROR(AQ22*(1-AQ37/100),"")</f>
        <v/>
      </c>
      <c r="AR40" s="14">
        <f>IFERROR(AR22*(1-AR37/100),"")</f>
        <v/>
      </c>
      <c r="AS40" s="14">
        <f>IFERROR(AS22*(1-AS37/100),"")</f>
        <v/>
      </c>
      <c r="AT40" s="14">
        <f>IFERROR(AT22*(1-AT37/100),"")</f>
        <v/>
      </c>
      <c r="AU40" s="14">
        <f>IFERROR(AU22*(1-AU37/100),"")</f>
        <v/>
      </c>
      <c r="AV40" s="14">
        <f>IFERROR(AV22*(1-AV37/100),"")</f>
        <v/>
      </c>
      <c r="AW40" s="14">
        <f>IFERROR(AW22*(1-AW37/100),"")</f>
        <v/>
      </c>
      <c r="AX40" s="14">
        <f>IFERROR(AX22*(1-AX37/100),"")</f>
        <v/>
      </c>
      <c r="AY40" s="14">
        <f>IFERROR(AY22*(1-AY37/100),"")</f>
        <v/>
      </c>
    </row>
    <row r="41">
      <c r="A41" s="4" t="inlineStr">
        <is>
          <t>Prix client standard / kg (€)</t>
        </is>
      </c>
      <c r="B41" s="13">
        <f>IFERROR(B38/(B5/1000),"")</f>
        <v/>
      </c>
      <c r="C41" s="13">
        <f>IFERROR(C38/(C5/1000),"")</f>
        <v/>
      </c>
      <c r="D41" s="13">
        <f>IFERROR(D38/(D5/1000),"")</f>
        <v/>
      </c>
      <c r="E41" s="13">
        <f>IFERROR(E38/(E5/1000),"")</f>
        <v/>
      </c>
      <c r="F41" s="13">
        <f>IFERROR(F38/(F5/1000),"")</f>
        <v/>
      </c>
      <c r="G41" s="14">
        <f>IFERROR(G38/(G5/1000),"")</f>
        <v/>
      </c>
      <c r="H41" s="14">
        <f>IFERROR(H38/(H5/1000),"")</f>
        <v/>
      </c>
      <c r="I41" s="14">
        <f>IFERROR(I38/(I5/1000),"")</f>
        <v/>
      </c>
      <c r="J41" s="14">
        <f>IFERROR(J38/(J5/1000),"")</f>
        <v/>
      </c>
      <c r="K41" s="14">
        <f>IFERROR(K38/(K5/1000),"")</f>
        <v/>
      </c>
      <c r="L41" s="14">
        <f>IFERROR(L38/(L5/1000),"")</f>
        <v/>
      </c>
      <c r="M41" s="14">
        <f>IFERROR(M38/(M5/1000),"")</f>
        <v/>
      </c>
      <c r="N41" s="14">
        <f>IFERROR(N38/(N5/1000),"")</f>
        <v/>
      </c>
      <c r="O41" s="14">
        <f>IFERROR(O38/(O5/1000),"")</f>
        <v/>
      </c>
      <c r="P41" s="14">
        <f>IFERROR(P38/(P5/1000),"")</f>
        <v/>
      </c>
      <c r="Q41" s="14">
        <f>IFERROR(Q38/(Q5/1000),"")</f>
        <v/>
      </c>
      <c r="R41" s="14">
        <f>IFERROR(R38/(R5/1000),"")</f>
        <v/>
      </c>
      <c r="S41" s="14">
        <f>IFERROR(S38/(S5/1000),"")</f>
        <v/>
      </c>
      <c r="T41" s="14">
        <f>IFERROR(T38/(T5/1000),"")</f>
        <v/>
      </c>
      <c r="U41" s="14">
        <f>IFERROR(U38/(U5/1000),"")</f>
        <v/>
      </c>
      <c r="V41" s="14">
        <f>IFERROR(V38/(V5/1000),"")</f>
        <v/>
      </c>
      <c r="W41" s="14">
        <f>IFERROR(W38/(W5/1000),"")</f>
        <v/>
      </c>
      <c r="X41" s="14">
        <f>IFERROR(X38/(X5/1000),"")</f>
        <v/>
      </c>
      <c r="Y41" s="14">
        <f>IFERROR(Y38/(Y5/1000),"")</f>
        <v/>
      </c>
      <c r="Z41" s="14">
        <f>IFERROR(Z38/(Z5/1000),"")</f>
        <v/>
      </c>
      <c r="AA41" s="14">
        <f>IFERROR(AA38/(AA5/1000),"")</f>
        <v/>
      </c>
      <c r="AB41" s="14">
        <f>IFERROR(AB38/(AB5/1000),"")</f>
        <v/>
      </c>
      <c r="AC41" s="14">
        <f>IFERROR(AC38/(AC5/1000),"")</f>
        <v/>
      </c>
      <c r="AD41" s="14">
        <f>IFERROR(AD38/(AD5/1000),"")</f>
        <v/>
      </c>
      <c r="AE41" s="14">
        <f>IFERROR(AE38/(AE5/1000),"")</f>
        <v/>
      </c>
      <c r="AF41" s="14">
        <f>IFERROR(AF38/(AF5/1000),"")</f>
        <v/>
      </c>
      <c r="AG41" s="14">
        <f>IFERROR(AG38/(AG5/1000),"")</f>
        <v/>
      </c>
      <c r="AH41" s="14">
        <f>IFERROR(AH38/(AH5/1000),"")</f>
        <v/>
      </c>
      <c r="AI41" s="14">
        <f>IFERROR(AI38/(AI5/1000),"")</f>
        <v/>
      </c>
      <c r="AJ41" s="14">
        <f>IFERROR(AJ38/(AJ5/1000),"")</f>
        <v/>
      </c>
      <c r="AK41" s="14">
        <f>IFERROR(AK38/(AK5/1000),"")</f>
        <v/>
      </c>
      <c r="AL41" s="14">
        <f>IFERROR(AL38/(AL5/1000),"")</f>
        <v/>
      </c>
      <c r="AM41" s="14">
        <f>IFERROR(AM38/(AM5/1000),"")</f>
        <v/>
      </c>
      <c r="AN41" s="14">
        <f>IFERROR(AN38/(AN5/1000),"")</f>
        <v/>
      </c>
      <c r="AO41" s="14">
        <f>IFERROR(AO38/(AO5/1000),"")</f>
        <v/>
      </c>
      <c r="AP41" s="14">
        <f>IFERROR(AP38/(AP5/1000),"")</f>
        <v/>
      </c>
      <c r="AQ41" s="14">
        <f>IFERROR(AQ38/(AQ5/1000),"")</f>
        <v/>
      </c>
      <c r="AR41" s="14">
        <f>IFERROR(AR38/(AR5/1000),"")</f>
        <v/>
      </c>
      <c r="AS41" s="14">
        <f>IFERROR(AS38/(AS5/1000),"")</f>
        <v/>
      </c>
      <c r="AT41" s="14">
        <f>IFERROR(AT38/(AT5/1000),"")</f>
        <v/>
      </c>
      <c r="AU41" s="14">
        <f>IFERROR(AU38/(AU5/1000),"")</f>
        <v/>
      </c>
      <c r="AV41" s="14">
        <f>IFERROR(AV38/(AV5/1000),"")</f>
        <v/>
      </c>
      <c r="AW41" s="14">
        <f>IFERROR(AW38/(AW5/1000),"")</f>
        <v/>
      </c>
      <c r="AX41" s="14">
        <f>IFERROR(AX38/(AX5/1000),"")</f>
        <v/>
      </c>
      <c r="AY41" s="14">
        <f>IFERROR(AY38/(AY5/1000),"")</f>
        <v/>
      </c>
    </row>
    <row r="42">
      <c r="A42" s="4" t="inlineStr">
        <is>
          <t>Prix client standard / g prot (€)</t>
        </is>
      </c>
      <c r="B42" s="15">
        <f>IFERROR(B38/(B15*B13),"")</f>
        <v/>
      </c>
      <c r="C42" s="15">
        <f>IFERROR(C38/(C15*C13),"")</f>
        <v/>
      </c>
      <c r="D42" s="15">
        <f>IFERROR(D38/(D15*D13),"")</f>
        <v/>
      </c>
      <c r="E42" s="15">
        <f>IFERROR(E38/(E15*E13),"")</f>
        <v/>
      </c>
      <c r="F42" s="15">
        <f>IFERROR(F38/(F15*F13),"")</f>
        <v/>
      </c>
      <c r="G42" s="16">
        <f>IFERROR(G38/(G15*G13),"")</f>
        <v/>
      </c>
      <c r="H42" s="16">
        <f>IFERROR(H38/(H15*H13),"")</f>
        <v/>
      </c>
      <c r="I42" s="16">
        <f>IFERROR(I38/(I15*I13),"")</f>
        <v/>
      </c>
      <c r="J42" s="16">
        <f>IFERROR(J38/(J15*J13),"")</f>
        <v/>
      </c>
      <c r="K42" s="16">
        <f>IFERROR(K38/(K15*K13),"")</f>
        <v/>
      </c>
      <c r="L42" s="16">
        <f>IFERROR(L38/(L15*L13),"")</f>
        <v/>
      </c>
      <c r="M42" s="16">
        <f>IFERROR(M38/(M15*M13),"")</f>
        <v/>
      </c>
      <c r="N42" s="16">
        <f>IFERROR(N38/(N15*N13),"")</f>
        <v/>
      </c>
      <c r="O42" s="16">
        <f>IFERROR(O38/(O15*O13),"")</f>
        <v/>
      </c>
      <c r="P42" s="16">
        <f>IFERROR(P38/(P15*P13),"")</f>
        <v/>
      </c>
      <c r="Q42" s="16">
        <f>IFERROR(Q38/(Q15*Q13),"")</f>
        <v/>
      </c>
      <c r="R42" s="16">
        <f>IFERROR(R38/(R15*R13),"")</f>
        <v/>
      </c>
      <c r="S42" s="16">
        <f>IFERROR(S38/(S15*S13),"")</f>
        <v/>
      </c>
      <c r="T42" s="16">
        <f>IFERROR(T38/(T15*T13),"")</f>
        <v/>
      </c>
      <c r="U42" s="16">
        <f>IFERROR(U38/(U15*U13),"")</f>
        <v/>
      </c>
      <c r="V42" s="16">
        <f>IFERROR(V38/(V15*V13),"")</f>
        <v/>
      </c>
      <c r="W42" s="16">
        <f>IFERROR(W38/(W15*W13),"")</f>
        <v/>
      </c>
      <c r="X42" s="16">
        <f>IFERROR(X38/(X15*X13),"")</f>
        <v/>
      </c>
      <c r="Y42" s="16">
        <f>IFERROR(Y38/(Y15*Y13),"")</f>
        <v/>
      </c>
      <c r="Z42" s="16">
        <f>IFERROR(Z38/(Z15*Z13),"")</f>
        <v/>
      </c>
      <c r="AA42" s="16">
        <f>IFERROR(AA38/(AA15*AA13),"")</f>
        <v/>
      </c>
      <c r="AB42" s="16">
        <f>IFERROR(AB38/(AB15*AB13),"")</f>
        <v/>
      </c>
      <c r="AC42" s="16">
        <f>IFERROR(AC38/(AC15*AC13),"")</f>
        <v/>
      </c>
      <c r="AD42" s="16">
        <f>IFERROR(AD38/(AD15*AD13),"")</f>
        <v/>
      </c>
      <c r="AE42" s="16">
        <f>IFERROR(AE38/(AE15*AE13),"")</f>
        <v/>
      </c>
      <c r="AF42" s="16">
        <f>IFERROR(AF38/(AF15*AF13),"")</f>
        <v/>
      </c>
      <c r="AG42" s="16">
        <f>IFERROR(AG38/(AG15*AG13),"")</f>
        <v/>
      </c>
      <c r="AH42" s="16">
        <f>IFERROR(AH38/(AH15*AH13),"")</f>
        <v/>
      </c>
      <c r="AI42" s="16">
        <f>IFERROR(AI38/(AI15*AI13),"")</f>
        <v/>
      </c>
      <c r="AJ42" s="16">
        <f>IFERROR(AJ38/(AJ15*AJ13),"")</f>
        <v/>
      </c>
      <c r="AK42" s="16">
        <f>IFERROR(AK38/(AK15*AK13),"")</f>
        <v/>
      </c>
      <c r="AL42" s="16">
        <f>IFERROR(AL38/(AL15*AL13),"")</f>
        <v/>
      </c>
      <c r="AM42" s="16">
        <f>IFERROR(AM38/(AM15*AM13),"")</f>
        <v/>
      </c>
      <c r="AN42" s="16">
        <f>IFERROR(AN38/(AN15*AN13),"")</f>
        <v/>
      </c>
      <c r="AO42" s="16">
        <f>IFERROR(AO38/(AO15*AO13),"")</f>
        <v/>
      </c>
      <c r="AP42" s="16">
        <f>IFERROR(AP38/(AP15*AP13),"")</f>
        <v/>
      </c>
      <c r="AQ42" s="16">
        <f>IFERROR(AQ38/(AQ15*AQ13),"")</f>
        <v/>
      </c>
      <c r="AR42" s="16">
        <f>IFERROR(AR38/(AR15*AR13),"")</f>
        <v/>
      </c>
      <c r="AS42" s="16">
        <f>IFERROR(AS38/(AS15*AS13),"")</f>
        <v/>
      </c>
      <c r="AT42" s="16">
        <f>IFERROR(AT38/(AT15*AT13),"")</f>
        <v/>
      </c>
      <c r="AU42" s="16">
        <f>IFERROR(AU38/(AU15*AU13),"")</f>
        <v/>
      </c>
      <c r="AV42" s="16">
        <f>IFERROR(AV38/(AV15*AV13),"")</f>
        <v/>
      </c>
      <c r="AW42" s="16">
        <f>IFERROR(AW38/(AW15*AW13),"")</f>
        <v/>
      </c>
      <c r="AX42" s="16">
        <f>IFERROR(AX38/(AX15*AX13),"")</f>
        <v/>
      </c>
      <c r="AY42" s="16">
        <f>IFERROR(AY38/(AY15*AY13),"")</f>
        <v/>
      </c>
    </row>
    <row r="43">
      <c r="A43" s="4" t="inlineStr">
        <is>
          <t>Prix client averti / g prot (€)</t>
        </is>
      </c>
      <c r="B43" s="15">
        <f>IFERROR(B39/(B15*B13),"")</f>
        <v/>
      </c>
      <c r="C43" s="15">
        <f>IFERROR(C39/(C15*C13),"")</f>
        <v/>
      </c>
      <c r="D43" s="15">
        <f>IFERROR(D39/(D15*D13),"")</f>
        <v/>
      </c>
      <c r="E43" s="15">
        <f>IFERROR(E39/(E15*E13),"")</f>
        <v/>
      </c>
      <c r="F43" s="15">
        <f>IFERROR(F39/(F15*F13),"")</f>
        <v/>
      </c>
      <c r="G43" s="16">
        <f>IFERROR(G39/(G15*G13),"")</f>
        <v/>
      </c>
      <c r="H43" s="16">
        <f>IFERROR(H39/(H15*H13),"")</f>
        <v/>
      </c>
      <c r="I43" s="16">
        <f>IFERROR(I39/(I15*I13),"")</f>
        <v/>
      </c>
      <c r="J43" s="16">
        <f>IFERROR(J39/(J15*J13),"")</f>
        <v/>
      </c>
      <c r="K43" s="16">
        <f>IFERROR(K39/(K15*K13),"")</f>
        <v/>
      </c>
      <c r="L43" s="16">
        <f>IFERROR(L39/(L15*L13),"")</f>
        <v/>
      </c>
      <c r="M43" s="16">
        <f>IFERROR(M39/(M15*M13),"")</f>
        <v/>
      </c>
      <c r="N43" s="16">
        <f>IFERROR(N39/(N15*N13),"")</f>
        <v/>
      </c>
      <c r="O43" s="16">
        <f>IFERROR(O39/(O15*O13),"")</f>
        <v/>
      </c>
      <c r="P43" s="16">
        <f>IFERROR(P39/(P15*P13),"")</f>
        <v/>
      </c>
      <c r="Q43" s="16">
        <f>IFERROR(Q39/(Q15*Q13),"")</f>
        <v/>
      </c>
      <c r="R43" s="16">
        <f>IFERROR(R39/(R15*R13),"")</f>
        <v/>
      </c>
      <c r="S43" s="16">
        <f>IFERROR(S39/(S15*S13),"")</f>
        <v/>
      </c>
      <c r="T43" s="16">
        <f>IFERROR(T39/(T15*T13),"")</f>
        <v/>
      </c>
      <c r="U43" s="16">
        <f>IFERROR(U39/(U15*U13),"")</f>
        <v/>
      </c>
      <c r="V43" s="16">
        <f>IFERROR(V39/(V15*V13),"")</f>
        <v/>
      </c>
      <c r="W43" s="16">
        <f>IFERROR(W39/(W15*W13),"")</f>
        <v/>
      </c>
      <c r="X43" s="16">
        <f>IFERROR(X39/(X15*X13),"")</f>
        <v/>
      </c>
      <c r="Y43" s="16">
        <f>IFERROR(Y39/(Y15*Y13),"")</f>
        <v/>
      </c>
      <c r="Z43" s="16">
        <f>IFERROR(Z39/(Z15*Z13),"")</f>
        <v/>
      </c>
      <c r="AA43" s="16">
        <f>IFERROR(AA39/(AA15*AA13),"")</f>
        <v/>
      </c>
      <c r="AB43" s="16">
        <f>IFERROR(AB39/(AB15*AB13),"")</f>
        <v/>
      </c>
      <c r="AC43" s="16">
        <f>IFERROR(AC39/(AC15*AC13),"")</f>
        <v/>
      </c>
      <c r="AD43" s="16">
        <f>IFERROR(AD39/(AD15*AD13),"")</f>
        <v/>
      </c>
      <c r="AE43" s="16">
        <f>IFERROR(AE39/(AE15*AE13),"")</f>
        <v/>
      </c>
      <c r="AF43" s="16">
        <f>IFERROR(AF39/(AF15*AF13),"")</f>
        <v/>
      </c>
      <c r="AG43" s="16">
        <f>IFERROR(AG39/(AG15*AG13),"")</f>
        <v/>
      </c>
      <c r="AH43" s="16">
        <f>IFERROR(AH39/(AH15*AH13),"")</f>
        <v/>
      </c>
      <c r="AI43" s="16">
        <f>IFERROR(AI39/(AI15*AI13),"")</f>
        <v/>
      </c>
      <c r="AJ43" s="16">
        <f>IFERROR(AJ39/(AJ15*AJ13),"")</f>
        <v/>
      </c>
      <c r="AK43" s="16">
        <f>IFERROR(AK39/(AK15*AK13),"")</f>
        <v/>
      </c>
      <c r="AL43" s="16">
        <f>IFERROR(AL39/(AL15*AL13),"")</f>
        <v/>
      </c>
      <c r="AM43" s="16">
        <f>IFERROR(AM39/(AM15*AM13),"")</f>
        <v/>
      </c>
      <c r="AN43" s="16">
        <f>IFERROR(AN39/(AN15*AN13),"")</f>
        <v/>
      </c>
      <c r="AO43" s="16">
        <f>IFERROR(AO39/(AO15*AO13),"")</f>
        <v/>
      </c>
      <c r="AP43" s="16">
        <f>IFERROR(AP39/(AP15*AP13),"")</f>
        <v/>
      </c>
      <c r="AQ43" s="16">
        <f>IFERROR(AQ39/(AQ15*AQ13),"")</f>
        <v/>
      </c>
      <c r="AR43" s="16">
        <f>IFERROR(AR39/(AR15*AR13),"")</f>
        <v/>
      </c>
      <c r="AS43" s="16">
        <f>IFERROR(AS39/(AS15*AS13),"")</f>
        <v/>
      </c>
      <c r="AT43" s="16">
        <f>IFERROR(AT39/(AT15*AT13),"")</f>
        <v/>
      </c>
      <c r="AU43" s="16">
        <f>IFERROR(AU39/(AU15*AU13),"")</f>
        <v/>
      </c>
      <c r="AV43" s="16">
        <f>IFERROR(AV39/(AV15*AV13),"")</f>
        <v/>
      </c>
      <c r="AW43" s="16">
        <f>IFERROR(AW39/(AW15*AW13),"")</f>
        <v/>
      </c>
      <c r="AX43" s="16">
        <f>IFERROR(AX39/(AX15*AX13),"")</f>
        <v/>
      </c>
      <c r="AY43" s="16">
        <f>IFERROR(AY39/(AY15*AY13),"")</f>
        <v/>
      </c>
    </row>
    <row r="44" ht="15.5" customHeight="1" s="24">
      <c r="A44" s="7" t="inlineStr">
        <is>
          <t>DISTRIBUTION &amp; SOURCE</t>
        </is>
      </c>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row>
    <row r="45" ht="43.5" customHeight="1" s="24">
      <c r="A45" s="4" t="inlineStr">
        <is>
          <t>Canaux de vente</t>
        </is>
      </c>
      <c r="B45" s="9" t="inlineStr">
        <is>
          <t>site_propre</t>
        </is>
      </c>
      <c r="C45" s="9" t="inlineStr">
        <is>
          <t>site_propre</t>
        </is>
      </c>
      <c r="D45" s="9" t="inlineStr">
        <is>
          <t>site_propre</t>
        </is>
      </c>
      <c r="E45" s="9" t="inlineStr">
        <is>
          <t>Site propre</t>
        </is>
      </c>
      <c r="F45" s="9" t="inlineStr">
        <is>
          <t>Site propre</t>
        </is>
      </c>
      <c r="G45" s="10" t="inlineStr">
        <is>
          <t>Site propre, Amazon</t>
        </is>
      </c>
      <c r="H45" s="10" t="inlineStr">
        <is>
          <t>Site propre, Amazon</t>
        </is>
      </c>
      <c r="I45" s="10" t="inlineStr">
        <is>
          <t>Site propre, Amazon</t>
        </is>
      </c>
      <c r="J45" s="10" t="inlineStr">
        <is>
          <t>Site propre, Amazon, revendeurs</t>
        </is>
      </c>
      <c r="K45" s="10" t="inlineStr">
        <is>
          <t>Site propre, Amazon, revendeurs</t>
        </is>
      </c>
      <c r="L45" s="10" t="inlineStr">
        <is>
          <t>Site propre, Amazon, revendeurs</t>
        </is>
      </c>
      <c r="M45" s="10" t="inlineStr">
        <is>
          <t>Site propre, Amazon, revendeurs</t>
        </is>
      </c>
      <c r="N45" s="10" t="inlineStr">
        <is>
          <t>Site propre, Amazon, revendeurs</t>
        </is>
      </c>
      <c r="O45" s="10" t="inlineStr">
        <is>
          <t>Site propre, Amazon, revendeurs</t>
        </is>
      </c>
      <c r="P45" s="10" t="inlineStr">
        <is>
          <t>Site propre, Amazon, revendeurs</t>
        </is>
      </c>
      <c r="Q45" s="10" t="inlineStr">
        <is>
          <t>Site propre, Amazon, revendeurs</t>
        </is>
      </c>
      <c r="R45" s="10" t="inlineStr">
        <is>
          <t>Site propre, Pharmacies, Amazon</t>
        </is>
      </c>
      <c r="S45" s="10" t="inlineStr">
        <is>
          <t>Site propre, Pharmacies, Amazon</t>
        </is>
      </c>
      <c r="T45" s="10" t="inlineStr">
        <is>
          <t>Site propre</t>
        </is>
      </c>
      <c r="U45" s="10" t="inlineStr">
        <is>
          <t>Site propre, Amazon</t>
        </is>
      </c>
      <c r="V45" s="10" t="inlineStr">
        <is>
          <t>Site propre, Amazon</t>
        </is>
      </c>
      <c r="W45" s="10" t="inlineStr">
        <is>
          <t>Site propre, Amazon</t>
        </is>
      </c>
      <c r="X45" s="10" t="inlineStr">
        <is>
          <t>Site propre, Amazon</t>
        </is>
      </c>
      <c r="Y45" s="10" t="inlineStr">
        <is>
          <t>Site propre, Amazon</t>
        </is>
      </c>
      <c r="Z45" s="10" t="inlineStr">
        <is>
          <t>Site propre, Amazon</t>
        </is>
      </c>
      <c r="AA45" s="10" t="inlineStr">
        <is>
          <t>Site propre, Amazon</t>
        </is>
      </c>
      <c r="AB45" s="10" t="inlineStr">
        <is>
          <t>Site propre, Amazon</t>
        </is>
      </c>
      <c r="AC45" s="10" t="inlineStr">
        <is>
          <t>Site propre, Amazon, Pharmacies</t>
        </is>
      </c>
      <c r="AD45" s="10" t="inlineStr">
        <is>
          <t>Site propre, Amazon, Pharmacies</t>
        </is>
      </c>
      <c r="AE45" s="10" t="inlineStr">
        <is>
          <t>Site propre, Amazon, Pharmacies</t>
        </is>
      </c>
      <c r="AF45" s="10" t="inlineStr">
        <is>
          <t>Site propre, Amazon, Pharmacies</t>
        </is>
      </c>
      <c r="AG45" s="10" t="inlineStr">
        <is>
          <t>Site propre, Amazon, Pharmacies</t>
        </is>
      </c>
      <c r="AH45" s="10" t="inlineStr">
        <is>
          <t>Site propre, Amazon, Pharmacies</t>
        </is>
      </c>
      <c r="AI45" s="10" t="inlineStr">
        <is>
          <t>Site propre, Amazon</t>
        </is>
      </c>
      <c r="AJ45" s="10" t="inlineStr">
        <is>
          <t>Site propre</t>
        </is>
      </c>
      <c r="AK45" s="10" t="inlineStr">
        <is>
          <t>Site propre, Amazon</t>
        </is>
      </c>
      <c r="AL45" s="10" t="inlineStr">
        <is>
          <t>Site propre</t>
        </is>
      </c>
      <c r="AM45" s="10" t="inlineStr">
        <is>
          <t>Site propre</t>
        </is>
      </c>
      <c r="AN45" s="10" t="inlineStr">
        <is>
          <t>Site propre</t>
        </is>
      </c>
      <c r="AO45" s="10" t="inlineStr">
        <is>
          <t>Site propre, Amazon</t>
        </is>
      </c>
      <c r="AP45" s="10" t="inlineStr">
        <is>
          <t>Site propre, Amazon</t>
        </is>
      </c>
      <c r="AQ45" s="10" t="inlineStr">
        <is>
          <t>Site propre, Amazon, revendeurs</t>
        </is>
      </c>
      <c r="AR45" s="10" t="inlineStr">
        <is>
          <t>Site propre</t>
        </is>
      </c>
      <c r="AS45" s="10" t="inlineStr">
        <is>
          <t>Site propre</t>
        </is>
      </c>
      <c r="AT45" s="10" t="inlineStr">
        <is>
          <t>Site propre, Amazon</t>
        </is>
      </c>
      <c r="AU45" s="10" t="inlineStr">
        <is>
          <t>Site propre, Amazon</t>
        </is>
      </c>
      <c r="AV45" s="10" t="inlineStr">
        <is>
          <t>Site propre, Amazon</t>
        </is>
      </c>
      <c r="AW45" s="10" t="inlineStr">
        <is>
          <t>Site propre, Amazon</t>
        </is>
      </c>
      <c r="AX45" s="10" t="inlineStr">
        <is>
          <t>Site propre, Amazon</t>
        </is>
      </c>
      <c r="AY45" s="10" t="inlineStr">
        <is>
          <t>Site propre, Amazon</t>
        </is>
      </c>
    </row>
    <row r="46" ht="87" customHeight="1" s="24">
      <c r="A46" s="4" t="inlineStr">
        <is>
          <t>Source URL (principale)</t>
        </is>
      </c>
      <c r="B46" s="9" t="inlineStr">
        <is>
          <t>https://impulse-nutrition.fr/products/whey-isolate-saveur-chocolat</t>
        </is>
      </c>
      <c r="C46" s="9" t="inlineStr">
        <is>
          <t>https://impulse-nutrition.fr/products/whey-isolate-saveur-vanille</t>
        </is>
      </c>
      <c r="D46" s="9" t="inlineStr">
        <is>
          <t>https://impulse-nutrition.fr/products/whey-isolate-nature</t>
        </is>
      </c>
      <c r="E46" s="9" t="inlineStr">
        <is>
          <t>https://impulse-nutrition.fr/products/whey-recovery-saveur-chocolat</t>
        </is>
      </c>
      <c r="F46" s="9" t="inlineStr">
        <is>
          <t>https://impulse-nutrition.fr/products/whey-recovery-saveur-vanille</t>
        </is>
      </c>
      <c r="G46" s="10" t="inlineStr">
        <is>
          <t>https://www.nutripure.fr/produits/whey-isolat-native-chocolat</t>
        </is>
      </c>
      <c r="H46" s="10" t="inlineStr">
        <is>
          <t>https://www.nutripure.fr/fr/musculation/147-1115-whey-chocolat-isolate.html#/332-poids_poudre-seau_2kg</t>
        </is>
      </c>
      <c r="I46" s="10" t="inlineStr">
        <is>
          <t>https://www.nutripure.fr/fr/musculation/147-674-whey-chocolat-isolate.html#/47-poids_poudre-seau_4kg</t>
        </is>
      </c>
      <c r="J46" s="10" t="inlineStr">
        <is>
          <t>https://www.nutrimuscle.com/products/whey-native-isolate</t>
        </is>
      </c>
      <c r="K46" s="10" t="inlineStr">
        <is>
          <t>https://www.nutrimuscle.com/products/whey-isolat-native</t>
        </is>
      </c>
      <c r="L46" s="10" t="inlineStr">
        <is>
          <t>https://www.nutrimuscle.com/products/whey-native-isolate</t>
        </is>
      </c>
      <c r="M46" s="10" t="inlineStr">
        <is>
          <t>https://www.nutrimuscle.com/products/whey-native-isolate</t>
        </is>
      </c>
      <c r="N46" s="10" t="inlineStr">
        <is>
          <t>https://www.nutrimuscle.com/products/whey-native</t>
        </is>
      </c>
      <c r="O46" s="10" t="inlineStr">
        <is>
          <t>https://www.nutrimuscle.com/products/whey-concentree-native</t>
        </is>
      </c>
      <c r="P46" s="10" t="inlineStr">
        <is>
          <t>https://www.nutrimuscle.com/products/whey-native</t>
        </is>
      </c>
      <c r="Q46" s="10" t="inlineStr">
        <is>
          <t>https://www.nutrimuscle.com/products/whey-native</t>
        </is>
      </c>
      <c r="R46" s="10" t="inlineStr">
        <is>
          <t>https://nutriandco.com/fr/produits/whey-isolate-native</t>
        </is>
      </c>
      <c r="S46" s="10" t="inlineStr">
        <is>
          <t>https://nutriandco.com/fr/produits/whey-native</t>
        </is>
      </c>
      <c r="T46" s="10" t="inlineStr">
        <is>
          <t>https://www.aqeelab-nutrition.fr/products/whey-native-fabriquee-en-france-lait-francais</t>
        </is>
      </c>
      <c r="U46" s="10" t="inlineStr">
        <is>
          <t>https://www.ericfavre.com/fr_fr/proteines/iso-zero-100-whey-proteine-cookies-cream-500g-p-194-o-1216.htm</t>
        </is>
      </c>
      <c r="V46" s="10" t="inlineStr">
        <is>
          <t>https://www.ericfavre.com/fr_fr/proteines/iso-zero-100-whey-proteine-choco-intense-1-5kg-p-194-o-1200.htm</t>
        </is>
      </c>
      <c r="W46" s="10" t="inlineStr">
        <is>
          <t>https://www.ericfavre.com/fr_fr/proteines/iso-zero-100-whey-proteine-chocotella-2kg-p-194-o-155.htm</t>
        </is>
      </c>
      <c r="X46" s="10" t="inlineStr">
        <is>
          <t>https://www.ericfavre.com/fr_fr/proteines/whey-optimax-protein-biscuit-cookie-500g-p-622-o-1369.htm</t>
        </is>
      </c>
      <c r="Y46" s="10" t="inlineStr">
        <is>
          <t>https://www.ericfavre.com/fr_fr/proteines/whey-optimax-protein-chocolat-1-5kg-p-622-o-1370.htm</t>
        </is>
      </c>
      <c r="Z46" s="10" t="inlineStr">
        <is>
          <t>https://www.ericfavre.com/fr_fr/proteines/whey-zero-chocolat-2kg-p-517-o-1093.htm</t>
        </is>
      </c>
      <c r="AA46" s="10" t="inlineStr">
        <is>
          <t>https://www.ericfavre.com/fr_fr/proteines/iso-fusion-biscuit-cookie-750g-p-907-o-1924.htm</t>
        </is>
      </c>
      <c r="AB46" s="10" t="inlineStr">
        <is>
          <t>https://www.ericfavre.com/fr_fr/proteines/iso-fusion-biscuit-cookie-2kg-p-907-o-1925.htm</t>
        </is>
      </c>
      <c r="AC46" s="10" t="inlineStr">
        <is>
          <t>https://www.eafit.com/eafit-pure-isolate.html</t>
        </is>
      </c>
      <c r="AD46" s="10" t="inlineStr">
        <is>
          <t>https://www.eafit.com/eafit-pure-isolate-premium.html</t>
        </is>
      </c>
      <c r="AE46" s="10" t="inlineStr">
        <is>
          <t>https://www.eafit.com/eafit-pure-whey.html</t>
        </is>
      </c>
      <c r="AF46" s="10" t="inlineStr">
        <is>
          <t>https://www.eafit.com/eafit-megawhey.html</t>
        </is>
      </c>
      <c r="AG46" s="10" t="inlineStr">
        <is>
          <t>https://www.eafit.com/eafit-pure-whey.html</t>
        </is>
      </c>
      <c r="AH46" s="10" t="inlineStr">
        <is>
          <t>https://www.eafit.com/eafit-pure-whey.html</t>
        </is>
      </c>
      <c r="AI46" s="10" t="inlineStr">
        <is>
          <t>https://www.bulk.com/fr/pure-whey-isolate-90.html</t>
        </is>
      </c>
      <c r="AJ46" s="10" t="inlineStr">
        <is>
          <t>https://www.bulk.com/fr/pure-whey-isolate-90.html</t>
        </is>
      </c>
      <c r="AK46" s="10" t="inlineStr">
        <is>
          <t>https://www.bulk.com/fr/pure-whey-protein-1.html</t>
        </is>
      </c>
      <c r="AL46" s="10" t="inlineStr">
        <is>
          <t>https://www.bulk.com/fr/pure-whey-protein-1.html</t>
        </is>
      </c>
      <c r="AM46" s="10" t="inlineStr">
        <is>
          <t>https://www.bulk.com/fr/pure-whey-protein-1.html</t>
        </is>
      </c>
      <c r="AN46" s="10" t="inlineStr">
        <is>
          <t>https://www.bulk.com/fr/clear-whey-isolate.html</t>
        </is>
      </c>
      <c r="AO46" s="10" t="inlineStr">
        <is>
          <t>https://fr.myprotein.com/p/nutrition-sportive/impact-whey-isolate/10852482/</t>
        </is>
      </c>
      <c r="AP46" s="10" t="inlineStr">
        <is>
          <t>https://fr.myprotein.com/p/nutrition-sportive/impact-whey-isolate-framboise-poche-2.5-kg/10530927/</t>
        </is>
      </c>
      <c r="AQ46" s="10" t="inlineStr">
        <is>
          <t>https://fr.myprotein.com/p/nutrition-sportive/myprotein-impact-whey-protein-chocolate-1kg/11068071/</t>
        </is>
      </c>
      <c r="AR46" s="10" t="inlineStr">
        <is>
          <t>https://fr.myprotein.com/p/nutrition-sportive/myprotein-impact-whey-protein-chocolate-nut-2.5kg/10530969/</t>
        </is>
      </c>
      <c r="AS46" s="10" t="inlineStr">
        <is>
          <t>https://fr.myprotein.com/p/nutrition-sportive/impact-whey-protein/10530943/</t>
        </is>
      </c>
      <c r="AT46" s="10" t="inlineStr">
        <is>
          <t>https://fr.myprotein.com/p/nutrition-sportive/clear-whey-isolate/12081395/</t>
        </is>
      </c>
      <c r="AU46" s="10" t="inlineStr">
        <is>
          <t>https://shop.biotechusa.fr/products/iso-whey-zero-908-g</t>
        </is>
      </c>
      <c r="AV46" s="10" t="inlineStr">
        <is>
          <t>https://shop.biotechusa.fr/products/iso-whey-zero-poudre-de-proteine-isolat-1816-g</t>
        </is>
      </c>
      <c r="AW46" s="10" t="inlineStr">
        <is>
          <t>https://shop.biotechusa.fr/products/100-pure-whey-400-g</t>
        </is>
      </c>
      <c r="AX46" s="10" t="inlineStr">
        <is>
          <t>https://shop.biotechusa.fr/products/100-pure-whey-renouvele-1000-g</t>
        </is>
      </c>
      <c r="AY46" s="10" t="inlineStr">
        <is>
          <t>https://shop.biotechusa.fr/products/100-pure-whey-2000-g</t>
        </is>
      </c>
    </row>
    <row r="47">
      <c r="A47" s="4" t="inlineStr">
        <is>
          <t>Date snapshot</t>
        </is>
      </c>
      <c r="B47" s="9" t="inlineStr">
        <is>
          <t>2026-04-14</t>
        </is>
      </c>
      <c r="C47" s="9" t="inlineStr">
        <is>
          <t>2026-04-14</t>
        </is>
      </c>
      <c r="D47" s="9" t="inlineStr">
        <is>
          <t>2026-04-14</t>
        </is>
      </c>
      <c r="E47" s="9" t="inlineStr">
        <is>
          <t>2026-04-14</t>
        </is>
      </c>
      <c r="F47" s="9" t="inlineStr">
        <is>
          <t>2026-04-14</t>
        </is>
      </c>
      <c r="G47" s="10" t="inlineStr">
        <is>
          <t>2026-04-14</t>
        </is>
      </c>
      <c r="H47" s="10" t="inlineStr">
        <is>
          <t>2026-04-14</t>
        </is>
      </c>
      <c r="I47" s="10" t="inlineStr">
        <is>
          <t>2026-04-14</t>
        </is>
      </c>
      <c r="J47" s="10" t="inlineStr">
        <is>
          <t>2026-04-14</t>
        </is>
      </c>
      <c r="K47" s="10" t="inlineStr">
        <is>
          <t>2026-04-14</t>
        </is>
      </c>
      <c r="L47" s="10" t="inlineStr">
        <is>
          <t>2026-04-14</t>
        </is>
      </c>
      <c r="M47" s="10" t="inlineStr">
        <is>
          <t>2026-04-14</t>
        </is>
      </c>
      <c r="N47" s="10" t="inlineStr">
        <is>
          <t>2026-04-14</t>
        </is>
      </c>
      <c r="O47" s="10" t="inlineStr">
        <is>
          <t>2026-04-14</t>
        </is>
      </c>
      <c r="P47" s="10" t="inlineStr">
        <is>
          <t>2026-04-14</t>
        </is>
      </c>
      <c r="Q47" s="10" t="inlineStr">
        <is>
          <t>2026-04-14</t>
        </is>
      </c>
      <c r="R47" s="10" t="inlineStr">
        <is>
          <t>2026-04-14</t>
        </is>
      </c>
      <c r="S47" s="10" t="inlineStr">
        <is>
          <t>2026-04-14</t>
        </is>
      </c>
      <c r="T47" s="10" t="inlineStr">
        <is>
          <t>2026-04-14</t>
        </is>
      </c>
      <c r="U47" s="10" t="inlineStr">
        <is>
          <t>2026-04-14</t>
        </is>
      </c>
      <c r="V47" s="10" t="inlineStr">
        <is>
          <t>2026-04-14</t>
        </is>
      </c>
      <c r="W47" s="10" t="inlineStr">
        <is>
          <t>2026-04-14</t>
        </is>
      </c>
      <c r="X47" s="10" t="inlineStr">
        <is>
          <t>2026-04-14</t>
        </is>
      </c>
      <c r="Y47" s="10" t="inlineStr">
        <is>
          <t>2026-04-14</t>
        </is>
      </c>
      <c r="Z47" s="10" t="inlineStr">
        <is>
          <t>2026-04-14</t>
        </is>
      </c>
      <c r="AA47" s="10" t="inlineStr">
        <is>
          <t>2026-04-14</t>
        </is>
      </c>
      <c r="AB47" s="10" t="inlineStr">
        <is>
          <t>2026-04-14</t>
        </is>
      </c>
      <c r="AC47" s="10" t="inlineStr">
        <is>
          <t>2026-04-14</t>
        </is>
      </c>
      <c r="AD47" s="10" t="inlineStr">
        <is>
          <t>2026-04-14</t>
        </is>
      </c>
      <c r="AE47" s="10" t="inlineStr">
        <is>
          <t>2026-04-14</t>
        </is>
      </c>
      <c r="AF47" s="10" t="inlineStr">
        <is>
          <t>2026-04-14</t>
        </is>
      </c>
      <c r="AG47" s="10" t="inlineStr">
        <is>
          <t>2026-04-14</t>
        </is>
      </c>
      <c r="AH47" s="10" t="inlineStr">
        <is>
          <t>2026-04-14</t>
        </is>
      </c>
      <c r="AI47" s="10" t="inlineStr">
        <is>
          <t>2026-04-14</t>
        </is>
      </c>
      <c r="AJ47" s="10" t="inlineStr">
        <is>
          <t>2026-04-14</t>
        </is>
      </c>
      <c r="AK47" s="10" t="inlineStr">
        <is>
          <t>2026-04-14</t>
        </is>
      </c>
      <c r="AL47" s="10" t="inlineStr">
        <is>
          <t>2026-04-14</t>
        </is>
      </c>
      <c r="AM47" s="10" t="inlineStr">
        <is>
          <t>2026-04-14</t>
        </is>
      </c>
      <c r="AN47" s="10" t="inlineStr">
        <is>
          <t>2026-04-14</t>
        </is>
      </c>
      <c r="AO47" s="10" t="inlineStr">
        <is>
          <t>2026-04-14</t>
        </is>
      </c>
      <c r="AP47" s="10" t="inlineStr">
        <is>
          <t>2026-04-14</t>
        </is>
      </c>
      <c r="AQ47" s="10" t="inlineStr">
        <is>
          <t>2026-04-14</t>
        </is>
      </c>
      <c r="AR47" s="10" t="inlineStr">
        <is>
          <t>2026-04-14</t>
        </is>
      </c>
      <c r="AS47" s="10" t="inlineStr">
        <is>
          <t>2026-04-14</t>
        </is>
      </c>
      <c r="AT47" s="10" t="inlineStr">
        <is>
          <t>2026-04-14</t>
        </is>
      </c>
      <c r="AU47" s="10" t="inlineStr">
        <is>
          <t>2026-04-14</t>
        </is>
      </c>
      <c r="AV47" s="10" t="inlineStr">
        <is>
          <t>2026-04-14</t>
        </is>
      </c>
      <c r="AW47" s="10" t="inlineStr">
        <is>
          <t>2026-04-14</t>
        </is>
      </c>
      <c r="AX47" s="10" t="inlineStr">
        <is>
          <t>2026-04-14</t>
        </is>
      </c>
      <c r="AY47" s="10" t="inlineStr">
        <is>
          <t>2026-04-14</t>
        </is>
      </c>
    </row>
    <row r="48" ht="159.5" customHeight="1" s="24">
      <c r="A48" s="4" t="inlineStr">
        <is>
          <t>Note gap catalogue/marché</t>
        </is>
      </c>
      <c r="B48" s="9" t="n"/>
      <c r="C48" s="9" t="n"/>
      <c r="D48" s="9" t="n"/>
      <c r="E48" s="9" t="inlineStr">
        <is>
          <t>Blend recovery (concentrat whey + créatine Creapure 3g + collagène Peptan 5g + magnésium). Pas comparable 1-pour-1 aux whey pures — 60% protéines car le reste = additifs de récupération.</t>
        </is>
      </c>
      <c r="F48" s="9" t="inlineStr">
        <is>
          <t>Blend recovery (concentrat whey + créatine Creapure 3g + collagène Peptan 5g + magnésium). Pas comparable 1-pour-1 aux whey pures — 60% protéines car le reste = additifs de récupération.</t>
        </is>
      </c>
      <c r="G48" s="10" t="inlineStr">
        <is>
          <t>Prix marché = null (Nutripure vend uniquement sur site propre, pas de cross-retailers significatifs). Ancien 46€ sourcé via robshop.fr était un revendeur cher, pas un vrai marché médian.</t>
        </is>
      </c>
      <c r="H48" s="10" t="inlineStr">
        <is>
          <t>Confirmé via Playwright click sur variant radio Seau 2KG (id=332). Page nutripure.fr. Agent v2 avait mal lu '90€' (probablement le 'à partir de' affiché sur la page parent).</t>
        </is>
      </c>
      <c r="I48" s="10" t="inlineStr">
        <is>
          <t>Confirmé via Playwright click sur variant radio Seau 4KG (id=47). Prix réel 179,90€ (pas 159,90€ extrapolé).</t>
        </is>
      </c>
      <c r="J48" s="10" t="n"/>
      <c r="K48" s="10" t="inlineStr">
        <is>
          <t>v1 avait 39.95€ (+45% correction)</t>
        </is>
      </c>
      <c r="L48" s="10" t="n"/>
      <c r="M48" s="10" t="n"/>
      <c r="N48" s="10" t="n"/>
      <c r="O48" s="10" t="inlineStr">
        <is>
          <t>v1 avait 25.95€ (+46% correction)</t>
        </is>
      </c>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inlineStr">
        <is>
          <t>Catalogue fictif majeur: 69.99€ barré vs 44.99€ réel (-36%)</t>
        </is>
      </c>
      <c r="AJ48" s="10" t="inlineStr">
        <is>
          <t>Catalogue fictif fort: 159.99€ vs 99.99€ réel (-37%)</t>
        </is>
      </c>
      <c r="AK48" s="10" t="inlineStr">
        <is>
          <t>Catalogue partiellement fictif: barré 37.99€ vs current 27.99€ vs marché 23.99€</t>
        </is>
      </c>
      <c r="AL48" s="10" t="inlineStr">
        <is>
          <t>Catalogue fictif: 84.99€ barré vs 64.99€ réel (-23%)</t>
        </is>
      </c>
      <c r="AM48" s="10" t="inlineStr">
        <is>
          <t>Catalogue fictif: 159.99€ vs 129.99€ payé (-19%)</t>
        </is>
      </c>
      <c r="AN48" s="10" t="inlineStr">
        <is>
          <t>Catalogue 31.49€ barré vs 25.99€ payé (-17%). Marché 22.25€</t>
        </is>
      </c>
      <c r="AO48" s="10" t="inlineStr">
        <is>
          <t>Isolate EXCLU de la promo -30% MyProtein. Prix current = prix nominal (pas de discount automatique). Revert de l'ancienne estimation ×0.7.</t>
        </is>
      </c>
      <c r="AP48" s="10" t="inlineStr">
        <is>
          <t>Confirmé via variant Framboise 2.5kg (10530927) : 124.99€ affiché sans strikethrough. Isolate exclu de la promo -30%.</t>
        </is>
      </c>
      <c r="AQ48" s="10" t="inlineStr">
        <is>
          <t>Prix actuel = 17.99€ sur fr.myprotein.com/.../11068071/ (scraped Playwright 2026-04-14). Promo site -30% + extra app ramène à 17.99 vs 41.99 nominal (soit -57%). Pattern MyProtein Whey Protein uniquement.</t>
        </is>
      </c>
      <c r="AR48" s="10" t="inlineStr">
        <is>
          <t>Prix scrapé via variant Chocolate Nut 2.5kg (10530969) : 84.99€ barré / 40.99€ actuel. Promo -52%. Playwright 2026-04-14.</t>
        </is>
      </c>
      <c r="AS48" s="10" t="inlineStr">
        <is>
          <t>5kg n'existe qu'en 'Sans arôme' (chocolat inexistant). Current price = extrapolation du ratio 2.5kg (40.99/84.99=0.482) : 188.99 × 0.482 ≈ 91.10€.</t>
        </is>
      </c>
      <c r="AT48" s="10" t="inlineStr">
        <is>
          <t>Clear Whey exclu de la promo -30% (mention explicite). Format 875g max (pas de 1kg). Confirmé via scraping 12081395.</t>
        </is>
      </c>
      <c r="AU48" s="10" t="n"/>
      <c r="AV48" s="10" t="n"/>
      <c r="AW48" s="10" t="inlineStr">
        <is>
          <t>8.2€/100g vs 5.5€/100g sur format 1kg (petit format plus cher)</t>
        </is>
      </c>
      <c r="AX48" s="10" t="inlineStr">
        <is>
          <t>GROS ÉCART : site marque 54.90€ vs idealo 27.02€ (-51%). Cross-retailers beaucoup moins cher.</t>
        </is>
      </c>
      <c r="AY48" s="10" t="inlineStr">
        <is>
          <t>Cohérent avec 1kg : site marque surcoté vs cross-retailers (~-40-50%)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1"/>
  <sheetViews>
    <sheetView workbookViewId="0">
      <pane xSplit="1" ySplit="1" topLeftCell="Q35" activePane="bottomRight" state="frozen"/>
      <selection pane="topRight" activeCell="A1" sqref="A1"/>
      <selection pane="bottomLeft" activeCell="A1" sqref="A1"/>
      <selection pane="bottomRight" activeCell="A47" sqref="A47:XFD57"/>
    </sheetView>
  </sheetViews>
  <sheetFormatPr baseColWidth="10" defaultColWidth="8.7265625" defaultRowHeight="14.5"/>
  <cols>
    <col width="14" customWidth="1" style="24" min="1" max="1"/>
    <col width="30" customWidth="1" style="24" min="2" max="2"/>
    <col width="22" customWidth="1" style="24" min="3" max="3"/>
    <col width="13" customWidth="1" style="24" min="4" max="4"/>
    <col width="10" customWidth="1" style="24" min="5" max="5"/>
    <col width="12" customWidth="1" style="24" min="6" max="6"/>
    <col width="13" customWidth="1" style="24" min="7" max="10"/>
    <col width="14" customWidth="1" style="24" min="11" max="12"/>
    <col width="13" customWidth="1" style="24" min="13" max="13"/>
    <col width="16" customWidth="1" style="24" min="14" max="14"/>
    <col width="13" customWidth="1" style="24" min="15" max="15"/>
    <col width="8" customWidth="1" style="24" min="16" max="16"/>
    <col width="12" customWidth="1" style="24" min="17" max="18"/>
    <col width="14" customWidth="1" style="24" min="19" max="19"/>
    <col width="16" customWidth="1" style="24" min="20" max="20"/>
    <col width="14" customWidth="1" style="24" min="21" max="21"/>
    <col width="16" customWidth="1" style="24" min="22" max="22"/>
    <col width="50" customWidth="1" style="24" min="23" max="23"/>
    <col width="30" customWidth="1" style="24" min="24" max="24"/>
  </cols>
  <sheetData>
    <row r="1">
      <c r="A1" s="19" t="inlineStr">
        <is>
          <t>Marque</t>
        </is>
      </c>
      <c r="B1" s="19" t="inlineStr">
        <is>
          <t>Produit</t>
        </is>
      </c>
      <c r="C1" s="19" t="inlineStr">
        <is>
          <t>Type</t>
        </is>
      </c>
      <c r="D1" s="19" t="inlineStr">
        <is>
          <t>Natif/Fromagère</t>
        </is>
      </c>
      <c r="E1" s="19" t="inlineStr">
        <is>
          <t>Format (g)</t>
        </is>
      </c>
      <c r="F1" s="19" t="inlineStr">
        <is>
          <t>Nb portions</t>
        </is>
      </c>
      <c r="G1" s="19" t="inlineStr">
        <is>
          <t>Prot/portion (g)</t>
        </is>
      </c>
      <c r="H1" s="19" t="inlineStr">
        <is>
          <t>Prix nominal (€)</t>
        </is>
      </c>
      <c r="I1" s="19" t="inlineStr">
        <is>
          <t>Prix actuel (€)</t>
        </is>
      </c>
      <c r="J1" s="19" t="inlineStr">
        <is>
          <t>Prix marché (€)</t>
        </is>
      </c>
      <c r="K1" s="19" t="inlineStr">
        <is>
          <t>Gap nominal→actuel (%)</t>
        </is>
      </c>
      <c r="L1" s="19" t="inlineStr">
        <is>
          <t>Gap actuel→marché (%)</t>
        </is>
      </c>
      <c r="M1" s="19" t="inlineStr">
        <is>
          <t>Prix actuel /kg</t>
        </is>
      </c>
      <c r="N1" s="19" t="inlineStr">
        <is>
          <t>Prix actuel /g prot</t>
        </is>
      </c>
      <c r="O1" s="19" t="inlineStr">
        <is>
          <t>Prix abo (€)</t>
        </is>
      </c>
      <c r="P1" s="19" t="inlineStr">
        <is>
          <t>% abo</t>
        </is>
      </c>
      <c r="Q1" s="19" t="inlineStr">
        <is>
          <t>Remise client standard (%)</t>
        </is>
      </c>
      <c r="R1" s="19" t="inlineStr">
        <is>
          <t>Remise client averti (%)</t>
        </is>
      </c>
      <c r="S1" s="19" t="inlineStr">
        <is>
          <t>Prix client standard (€)</t>
        </is>
      </c>
      <c r="T1" s="19" t="inlineStr">
        <is>
          <t>Prix client standard /g prot</t>
        </is>
      </c>
      <c r="U1" s="19" t="inlineStr">
        <is>
          <t>Prix client averti (€)</t>
        </is>
      </c>
      <c r="V1" s="19" t="inlineStr">
        <is>
          <t>Prix client averti /g prot</t>
        </is>
      </c>
      <c r="W1" s="19" t="inlineStr">
        <is>
          <t>Source URL</t>
        </is>
      </c>
      <c r="X1" s="19" t="inlineStr">
        <is>
          <t>Gap note</t>
        </is>
      </c>
    </row>
    <row r="2">
      <c r="A2" s="20">
        <f>'Benchmark détaillé'!B1</f>
        <v/>
      </c>
      <c r="B2" s="20" t="inlineStr">
        <is>
          <t>Whey Isolate</t>
        </is>
      </c>
      <c r="C2" s="20">
        <f>'Benchmark détaillé'!B4</f>
        <v/>
      </c>
      <c r="D2" s="20">
        <f>'Benchmark détaillé'!B10</f>
        <v/>
      </c>
      <c r="E2" s="20">
        <f>'Benchmark détaillé'!B5</f>
        <v/>
      </c>
      <c r="F2" s="20">
        <f>'Benchmark détaillé'!B15</f>
        <v/>
      </c>
      <c r="G2" s="20">
        <f>'Benchmark détaillé'!B13</f>
        <v/>
      </c>
      <c r="H2" s="20">
        <f>'Benchmark détaillé'!B21</f>
        <v/>
      </c>
      <c r="I2" s="20">
        <f>'Benchmark détaillé'!B22</f>
        <v/>
      </c>
      <c r="J2" s="20">
        <f>'Benchmark détaillé'!B23</f>
        <v/>
      </c>
      <c r="K2" s="11">
        <f>IFERROR((H2-I2)/H2*100,"")</f>
        <v/>
      </c>
      <c r="L2" s="11">
        <f>IFERROR((I2-J2)/I2*100,"")</f>
        <v/>
      </c>
      <c r="M2" s="11">
        <f>IFERROR(I2/(E2/1000),"")</f>
        <v/>
      </c>
      <c r="N2" s="11">
        <f>IFERROR(I2/(F2*G2),"")</f>
        <v/>
      </c>
      <c r="O2" s="20">
        <f>'Benchmark détaillé'!B31</f>
        <v/>
      </c>
      <c r="P2" s="20">
        <f>'Benchmark détaillé'!B32</f>
        <v/>
      </c>
      <c r="Q2" s="11">
        <f>IFERROR(VLOOKUP(A2,'Discounts par marque'!$A:$G,4,FALSE),0)</f>
        <v/>
      </c>
      <c r="R2" s="11">
        <f>IFERROR(VLOOKUP(A2,'Discounts par marque'!$A:$G,5,FALSE),0)</f>
        <v/>
      </c>
      <c r="S2" s="11">
        <f>IFERROR(I2*(1-Q2/100),"")</f>
        <v/>
      </c>
      <c r="T2" s="11">
        <f>IFERROR(S2/(F2*G2),"")</f>
        <v/>
      </c>
      <c r="U2" s="11">
        <f>IFERROR(I2*(1-R2/100),"")</f>
        <v/>
      </c>
      <c r="V2" s="11">
        <f>IFERROR(U2/(F2*G2),"")</f>
        <v/>
      </c>
      <c r="W2" s="20" t="inlineStr">
        <is>
          <t>https://impulse-nutrition.fr/products/whey-isolate-saveur-chocolat</t>
        </is>
      </c>
      <c r="X2" s="20" t="n"/>
    </row>
    <row r="3">
      <c r="A3" s="20">
        <f>'Benchmark détaillé'!C1</f>
        <v/>
      </c>
      <c r="B3" s="20" t="inlineStr">
        <is>
          <t>Whey Isolate</t>
        </is>
      </c>
      <c r="C3" s="20">
        <f>'Benchmark détaillé'!C4</f>
        <v/>
      </c>
      <c r="D3" s="20">
        <f>'Benchmark détaillé'!C10</f>
        <v/>
      </c>
      <c r="E3" s="20">
        <f>'Benchmark détaillé'!C5</f>
        <v/>
      </c>
      <c r="F3" s="20">
        <f>'Benchmark détaillé'!C15</f>
        <v/>
      </c>
      <c r="G3" s="20">
        <f>'Benchmark détaillé'!C13</f>
        <v/>
      </c>
      <c r="H3" s="20">
        <f>'Benchmark détaillé'!C21</f>
        <v/>
      </c>
      <c r="I3" s="20">
        <f>'Benchmark détaillé'!C22</f>
        <v/>
      </c>
      <c r="J3" s="20">
        <f>'Benchmark détaillé'!C23</f>
        <v/>
      </c>
      <c r="K3" s="11">
        <f>IFERROR((H3-I3)/H3*100,"")</f>
        <v/>
      </c>
      <c r="L3" s="11">
        <f>IFERROR((I3-J3)/I3*100,"")</f>
        <v/>
      </c>
      <c r="M3" s="11">
        <f>IFERROR(I3/(E3/1000),"")</f>
        <v/>
      </c>
      <c r="N3" s="11">
        <f>IFERROR(I3/(F3*G3),"")</f>
        <v/>
      </c>
      <c r="O3" s="20">
        <f>'Benchmark détaillé'!C31</f>
        <v/>
      </c>
      <c r="P3" s="20">
        <f>'Benchmark détaillé'!C32</f>
        <v/>
      </c>
      <c r="Q3" s="11">
        <f>IFERROR(VLOOKUP(A3,'Discounts par marque'!$A:$G,4,FALSE),0)</f>
        <v/>
      </c>
      <c r="R3" s="11">
        <f>IFERROR(VLOOKUP(A3,'Discounts par marque'!$A:$G,5,FALSE),0)</f>
        <v/>
      </c>
      <c r="S3" s="11">
        <f>IFERROR(I3*(1-Q3/100),"")</f>
        <v/>
      </c>
      <c r="T3" s="11">
        <f>IFERROR(S3/(F3*G3),"")</f>
        <v/>
      </c>
      <c r="U3" s="11">
        <f>IFERROR(I3*(1-R3/100),"")</f>
        <v/>
      </c>
      <c r="V3" s="11">
        <f>IFERROR(U3/(F3*G3),"")</f>
        <v/>
      </c>
      <c r="W3" s="20" t="inlineStr">
        <is>
          <t>https://impulse-nutrition.fr/products/whey-isolate-saveur-vanille</t>
        </is>
      </c>
      <c r="X3" s="20" t="n"/>
    </row>
    <row r="4">
      <c r="A4" s="20">
        <f>'Benchmark détaillé'!D1</f>
        <v/>
      </c>
      <c r="B4" s="20" t="inlineStr">
        <is>
          <t>Whey Isolate</t>
        </is>
      </c>
      <c r="C4" s="20">
        <f>'Benchmark détaillé'!D4</f>
        <v/>
      </c>
      <c r="D4" s="20">
        <f>'Benchmark détaillé'!D10</f>
        <v/>
      </c>
      <c r="E4" s="20">
        <f>'Benchmark détaillé'!D5</f>
        <v/>
      </c>
      <c r="F4" s="20">
        <f>'Benchmark détaillé'!D15</f>
        <v/>
      </c>
      <c r="G4" s="20">
        <f>'Benchmark détaillé'!D13</f>
        <v/>
      </c>
      <c r="H4" s="20">
        <f>'Benchmark détaillé'!D21</f>
        <v/>
      </c>
      <c r="I4" s="20">
        <f>'Benchmark détaillé'!D22</f>
        <v/>
      </c>
      <c r="J4" s="20">
        <f>'Benchmark détaillé'!D23</f>
        <v/>
      </c>
      <c r="K4" s="11">
        <f>IFERROR((H4-I4)/H4*100,"")</f>
        <v/>
      </c>
      <c r="L4" s="11">
        <f>IFERROR((I4-J4)/I4*100,"")</f>
        <v/>
      </c>
      <c r="M4" s="11">
        <f>IFERROR(I4/(E4/1000),"")</f>
        <v/>
      </c>
      <c r="N4" s="11">
        <f>IFERROR(I4/(F4*G4),"")</f>
        <v/>
      </c>
      <c r="O4" s="20">
        <f>'Benchmark détaillé'!D31</f>
        <v/>
      </c>
      <c r="P4" s="20">
        <f>'Benchmark détaillé'!D32</f>
        <v/>
      </c>
      <c r="Q4" s="11">
        <f>IFERROR(VLOOKUP(A4,'Discounts par marque'!$A:$G,4,FALSE),0)</f>
        <v/>
      </c>
      <c r="R4" s="11">
        <f>IFERROR(VLOOKUP(A4,'Discounts par marque'!$A:$G,5,FALSE),0)</f>
        <v/>
      </c>
      <c r="S4" s="11">
        <f>IFERROR(I4*(1-Q4/100),"")</f>
        <v/>
      </c>
      <c r="T4" s="11">
        <f>IFERROR(S4/(F4*G4),"")</f>
        <v/>
      </c>
      <c r="U4" s="11">
        <f>IFERROR(I4*(1-R4/100),"")</f>
        <v/>
      </c>
      <c r="V4" s="11">
        <f>IFERROR(U4/(F4*G4),"")</f>
        <v/>
      </c>
      <c r="W4" s="20" t="inlineStr">
        <is>
          <t>https://impulse-nutrition.fr/products/whey-isolate-nature</t>
        </is>
      </c>
      <c r="X4" s="20" t="n"/>
    </row>
    <row r="5">
      <c r="A5" s="20">
        <f>'Benchmark détaillé'!E1</f>
        <v/>
      </c>
      <c r="B5" s="20" t="inlineStr">
        <is>
          <t>Whey Recovery</t>
        </is>
      </c>
      <c r="C5" s="20">
        <f>'Benchmark détaillé'!E4</f>
        <v/>
      </c>
      <c r="D5" s="20">
        <f>'Benchmark détaillé'!E10</f>
        <v/>
      </c>
      <c r="E5" s="20">
        <f>'Benchmark détaillé'!E5</f>
        <v/>
      </c>
      <c r="F5" s="20">
        <f>'Benchmark détaillé'!E15</f>
        <v/>
      </c>
      <c r="G5" s="20">
        <f>'Benchmark détaillé'!E13</f>
        <v/>
      </c>
      <c r="H5" s="20">
        <f>'Benchmark détaillé'!E21</f>
        <v/>
      </c>
      <c r="I5" s="20">
        <f>'Benchmark détaillé'!E22</f>
        <v/>
      </c>
      <c r="J5" s="20">
        <f>'Benchmark détaillé'!E23</f>
        <v/>
      </c>
      <c r="K5" s="11">
        <f>IFERROR((H5-I5)/H5*100,"")</f>
        <v/>
      </c>
      <c r="L5" s="11">
        <f>IFERROR((I5-J5)/I5*100,"")</f>
        <v/>
      </c>
      <c r="M5" s="11">
        <f>IFERROR(I5/(E5/1000),"")</f>
        <v/>
      </c>
      <c r="N5" s="11">
        <f>IFERROR(I5/(F5*G5),"")</f>
        <v/>
      </c>
      <c r="O5" s="20">
        <f>'Benchmark détaillé'!E31</f>
        <v/>
      </c>
      <c r="P5" s="20">
        <f>'Benchmark détaillé'!E32</f>
        <v/>
      </c>
      <c r="Q5" s="11">
        <f>IFERROR(VLOOKUP(A5,'Discounts par marque'!$A:$G,4,FALSE),0)</f>
        <v/>
      </c>
      <c r="R5" s="11">
        <f>IFERROR(VLOOKUP(A5,'Discounts par marque'!$A:$G,5,FALSE),0)</f>
        <v/>
      </c>
      <c r="S5" s="11">
        <f>IFERROR(I5*(1-Q5/100),"")</f>
        <v/>
      </c>
      <c r="T5" s="11">
        <f>IFERROR(S5/(F5*G5),"")</f>
        <v/>
      </c>
      <c r="U5" s="11">
        <f>IFERROR(I5*(1-R5/100),"")</f>
        <v/>
      </c>
      <c r="V5" s="11">
        <f>IFERROR(U5/(F5*G5),"")</f>
        <v/>
      </c>
      <c r="W5" s="20" t="inlineStr">
        <is>
          <t>https://impulse-nutrition.fr/products/whey-recovery-saveur-chocolat</t>
        </is>
      </c>
      <c r="X5" s="20" t="inlineStr">
        <is>
          <t>Blend recovery (concentrat whey + créatine Creapure 3g + collagène Peptan 5g + magnésium). Pas comparable 1-pour-1 aux whey pures — 60% protéines car le reste = additifs de récupération.</t>
        </is>
      </c>
    </row>
    <row r="6">
      <c r="A6" s="20">
        <f>'Benchmark détaillé'!F1</f>
        <v/>
      </c>
      <c r="B6" s="20" t="inlineStr">
        <is>
          <t>Whey Recovery</t>
        </is>
      </c>
      <c r="C6" s="20">
        <f>'Benchmark détaillé'!F4</f>
        <v/>
      </c>
      <c r="D6" s="20">
        <f>'Benchmark détaillé'!F10</f>
        <v/>
      </c>
      <c r="E6" s="20">
        <f>'Benchmark détaillé'!F5</f>
        <v/>
      </c>
      <c r="F6" s="20">
        <f>'Benchmark détaillé'!F15</f>
        <v/>
      </c>
      <c r="G6" s="20">
        <f>'Benchmark détaillé'!F13</f>
        <v/>
      </c>
      <c r="H6" s="20">
        <f>'Benchmark détaillé'!F21</f>
        <v/>
      </c>
      <c r="I6" s="20">
        <f>'Benchmark détaillé'!F22</f>
        <v/>
      </c>
      <c r="J6" s="20">
        <f>'Benchmark détaillé'!F23</f>
        <v/>
      </c>
      <c r="K6" s="11">
        <f>IFERROR((H6-I6)/H6*100,"")</f>
        <v/>
      </c>
      <c r="L6" s="11">
        <f>IFERROR((I6-J6)/I6*100,"")</f>
        <v/>
      </c>
      <c r="M6" s="11">
        <f>IFERROR(I6/(E6/1000),"")</f>
        <v/>
      </c>
      <c r="N6" s="11">
        <f>IFERROR(I6/(F6*G6),"")</f>
        <v/>
      </c>
      <c r="O6" s="20">
        <f>'Benchmark détaillé'!F31</f>
        <v/>
      </c>
      <c r="P6" s="20">
        <f>'Benchmark détaillé'!F32</f>
        <v/>
      </c>
      <c r="Q6" s="11">
        <f>IFERROR(VLOOKUP(A6,'Discounts par marque'!$A:$G,4,FALSE),0)</f>
        <v/>
      </c>
      <c r="R6" s="11">
        <f>IFERROR(VLOOKUP(A6,'Discounts par marque'!$A:$G,5,FALSE),0)</f>
        <v/>
      </c>
      <c r="S6" s="11">
        <f>IFERROR(I6*(1-Q6/100),"")</f>
        <v/>
      </c>
      <c r="T6" s="11">
        <f>IFERROR(S6/(F6*G6),"")</f>
        <v/>
      </c>
      <c r="U6" s="11">
        <f>IFERROR(I6*(1-R6/100),"")</f>
        <v/>
      </c>
      <c r="V6" s="11">
        <f>IFERROR(U6/(F6*G6),"")</f>
        <v/>
      </c>
      <c r="W6" s="20" t="inlineStr">
        <is>
          <t>https://impulse-nutrition.fr/products/whey-recovery-saveur-vanille</t>
        </is>
      </c>
      <c r="X6" s="20" t="inlineStr">
        <is>
          <t>Blend recovery (concentrat whey + créatine Creapure 3g + collagène Peptan 5g + magnésium). Pas comparable 1-pour-1 aux whey pures — 60% protéines car le reste = additifs de récupération.</t>
        </is>
      </c>
    </row>
    <row r="7">
      <c r="A7">
        <f>'Benchmark détaillé'!G1</f>
        <v/>
      </c>
      <c r="B7" t="inlineStr">
        <is>
          <t>Whey Isolat Native 750g</t>
        </is>
      </c>
      <c r="C7">
        <f>'Benchmark détaillé'!G4</f>
        <v/>
      </c>
      <c r="D7">
        <f>'Benchmark détaillé'!G10</f>
        <v/>
      </c>
      <c r="E7">
        <f>'Benchmark détaillé'!G5</f>
        <v/>
      </c>
      <c r="F7">
        <f>'Benchmark détaillé'!G15</f>
        <v/>
      </c>
      <c r="G7">
        <f>'Benchmark détaillé'!G13</f>
        <v/>
      </c>
      <c r="H7">
        <f>'Benchmark détaillé'!G21</f>
        <v/>
      </c>
      <c r="I7">
        <f>'Benchmark détaillé'!G22</f>
        <v/>
      </c>
      <c r="J7">
        <f>'Benchmark détaillé'!G23</f>
        <v/>
      </c>
      <c r="K7" s="12">
        <f>IFERROR((H7-I7)/H7*100,"")</f>
        <v/>
      </c>
      <c r="L7" s="12">
        <f>IFERROR((I7-J7)/I7*100,"")</f>
        <v/>
      </c>
      <c r="M7" s="12">
        <f>IFERROR(I7/(E7/1000),"")</f>
        <v/>
      </c>
      <c r="N7" s="12">
        <f>IFERROR(I7/(F7*G7),"")</f>
        <v/>
      </c>
      <c r="O7">
        <f>'Benchmark détaillé'!G31</f>
        <v/>
      </c>
      <c r="P7">
        <f>'Benchmark détaillé'!G32</f>
        <v/>
      </c>
      <c r="Q7" s="12">
        <f>IFERROR(VLOOKUP(A7,'Discounts par marque'!$A:$G,4,FALSE),0)</f>
        <v/>
      </c>
      <c r="R7" s="12">
        <f>IFERROR(VLOOKUP(A7,'Discounts par marque'!$A:$G,5,FALSE),0)</f>
        <v/>
      </c>
      <c r="S7" s="12">
        <f>IFERROR(I7*(1-Q7/100),"")</f>
        <v/>
      </c>
      <c r="T7" s="12">
        <f>IFERROR(S7/(F7*G7),"")</f>
        <v/>
      </c>
      <c r="U7" s="12">
        <f>IFERROR(I7*(1-R7/100),"")</f>
        <v/>
      </c>
      <c r="V7" s="12">
        <f>IFERROR(U7/(F7*G7),"")</f>
        <v/>
      </c>
      <c r="W7" t="inlineStr">
        <is>
          <t>https://www.nutripure.fr/produits/whey-isolat-native-chocolat</t>
        </is>
      </c>
      <c r="X7" t="inlineStr">
        <is>
          <t>Prix marché = null (Nutripure vend uniquement sur site propre, pas de cross-retailers significatifs). Ancien 46€ sourcé via robshop.fr était un revendeur cher, pas un vrai marché médian.</t>
        </is>
      </c>
    </row>
    <row r="8">
      <c r="A8">
        <f>'Benchmark détaillé'!H1</f>
        <v/>
      </c>
      <c r="B8" t="inlineStr">
        <is>
          <t>Whey Isolat Native 2kg</t>
        </is>
      </c>
      <c r="C8">
        <f>'Benchmark détaillé'!H4</f>
        <v/>
      </c>
      <c r="D8">
        <f>'Benchmark détaillé'!H10</f>
        <v/>
      </c>
      <c r="E8">
        <f>'Benchmark détaillé'!H5</f>
        <v/>
      </c>
      <c r="F8">
        <f>'Benchmark détaillé'!H15</f>
        <v/>
      </c>
      <c r="G8">
        <f>'Benchmark détaillé'!H13</f>
        <v/>
      </c>
      <c r="H8">
        <f>'Benchmark détaillé'!H21</f>
        <v/>
      </c>
      <c r="I8">
        <f>'Benchmark détaillé'!H22</f>
        <v/>
      </c>
      <c r="J8">
        <f>'Benchmark détaillé'!H23</f>
        <v/>
      </c>
      <c r="K8" s="12">
        <f>IFERROR((H8-I8)/H8*100,"")</f>
        <v/>
      </c>
      <c r="L8" s="12">
        <f>IFERROR((I8-J8)/I8*100,"")</f>
        <v/>
      </c>
      <c r="M8" s="12">
        <f>IFERROR(I8/(E8/1000),"")</f>
        <v/>
      </c>
      <c r="N8" s="12">
        <f>IFERROR(I8/(F8*G8),"")</f>
        <v/>
      </c>
      <c r="O8">
        <f>'Benchmark détaillé'!H31</f>
        <v/>
      </c>
      <c r="P8">
        <f>'Benchmark détaillé'!H32</f>
        <v/>
      </c>
      <c r="Q8" s="12">
        <f>IFERROR(VLOOKUP(A8,'Discounts par marque'!$A:$G,4,FALSE),0)</f>
        <v/>
      </c>
      <c r="R8" s="12">
        <f>IFERROR(VLOOKUP(A8,'Discounts par marque'!$A:$G,5,FALSE),0)</f>
        <v/>
      </c>
      <c r="S8" s="12">
        <f>IFERROR(I8*(1-Q8/100),"")</f>
        <v/>
      </c>
      <c r="T8" s="12">
        <f>IFERROR(S8/(F8*G8),"")</f>
        <v/>
      </c>
      <c r="U8" s="12">
        <f>IFERROR(I8*(1-R8/100),"")</f>
        <v/>
      </c>
      <c r="V8" s="12">
        <f>IFERROR(U8/(F8*G8),"")</f>
        <v/>
      </c>
      <c r="W8" s="22" t="inlineStr">
        <is>
          <t>https://www.nutripure.fr/fr/musculation/147-1115-whey-chocolat-isolate.html#/332-poids_poudre-seau_2kg</t>
        </is>
      </c>
      <c r="X8" t="inlineStr">
        <is>
          <t>Confirmé via Playwright click sur variant radio Seau 2KG (id=332). Page nutripure.fr. Agent v2 avait mal lu '90€' (probablement le 'à partir de' affiché sur la page parent).</t>
        </is>
      </c>
    </row>
    <row r="9">
      <c r="A9">
        <f>'Benchmark détaillé'!I1</f>
        <v/>
      </c>
      <c r="B9" t="inlineStr">
        <is>
          <t>Whey Isolat Native 4kg</t>
        </is>
      </c>
      <c r="C9">
        <f>'Benchmark détaillé'!I4</f>
        <v/>
      </c>
      <c r="D9">
        <f>'Benchmark détaillé'!I10</f>
        <v/>
      </c>
      <c r="E9">
        <f>'Benchmark détaillé'!I5</f>
        <v/>
      </c>
      <c r="F9">
        <f>'Benchmark détaillé'!I15</f>
        <v/>
      </c>
      <c r="G9">
        <f>'Benchmark détaillé'!I13</f>
        <v/>
      </c>
      <c r="H9">
        <f>'Benchmark détaillé'!I21</f>
        <v/>
      </c>
      <c r="I9">
        <f>'Benchmark détaillé'!I22</f>
        <v/>
      </c>
      <c r="J9">
        <f>'Benchmark détaillé'!I23</f>
        <v/>
      </c>
      <c r="K9" s="12">
        <f>IFERROR((H9-I9)/H9*100,"")</f>
        <v/>
      </c>
      <c r="L9" s="12">
        <f>IFERROR((I9-J9)/I9*100,"")</f>
        <v/>
      </c>
      <c r="M9" s="12">
        <f>IFERROR(I9/(E9/1000),"")</f>
        <v/>
      </c>
      <c r="N9" s="12">
        <f>IFERROR(I9/(F9*G9),"")</f>
        <v/>
      </c>
      <c r="O9">
        <f>'Benchmark détaillé'!I31</f>
        <v/>
      </c>
      <c r="P9">
        <f>'Benchmark détaillé'!I32</f>
        <v/>
      </c>
      <c r="Q9" s="12">
        <f>IFERROR(VLOOKUP(A9,'Discounts par marque'!$A:$G,4,FALSE),0)</f>
        <v/>
      </c>
      <c r="R9" s="12">
        <f>IFERROR(VLOOKUP(A9,'Discounts par marque'!$A:$G,5,FALSE),0)</f>
        <v/>
      </c>
      <c r="S9" s="12">
        <f>IFERROR(I9*(1-Q9/100),"")</f>
        <v/>
      </c>
      <c r="T9" s="12">
        <f>IFERROR(S9/(F9*G9),"")</f>
        <v/>
      </c>
      <c r="U9" s="12">
        <f>IFERROR(I9*(1-R9/100),"")</f>
        <v/>
      </c>
      <c r="V9" s="12">
        <f>IFERROR(U9/(F9*G9),"")</f>
        <v/>
      </c>
      <c r="W9" t="inlineStr">
        <is>
          <t>https://www.nutripure.fr/fr/musculation/147-674-whey-chocolat-isolate.html#/47-poids_poudre-seau_4kg</t>
        </is>
      </c>
      <c r="X9" t="inlineStr">
        <is>
          <t>Confirmé via Playwright click sur variant radio Seau 4KG (id=47). Prix réel 179,90€ (pas 159,90€ extrapolé).</t>
        </is>
      </c>
    </row>
    <row r="10">
      <c r="A10">
        <f>'Benchmark détaillé'!J1</f>
        <v/>
      </c>
      <c r="B10" t="inlineStr">
        <is>
          <t>Whey Native Isolate 500g</t>
        </is>
      </c>
      <c r="C10">
        <f>'Benchmark détaillé'!J4</f>
        <v/>
      </c>
      <c r="D10">
        <f>'Benchmark détaillé'!J10</f>
        <v/>
      </c>
      <c r="E10">
        <f>'Benchmark détaillé'!J5</f>
        <v/>
      </c>
      <c r="F10">
        <f>'Benchmark détaillé'!J15</f>
        <v/>
      </c>
      <c r="G10">
        <f>'Benchmark détaillé'!J13</f>
        <v/>
      </c>
      <c r="H10">
        <f>'Benchmark détaillé'!J21</f>
        <v/>
      </c>
      <c r="I10">
        <f>'Benchmark détaillé'!J22</f>
        <v/>
      </c>
      <c r="J10">
        <f>'Benchmark détaillé'!J23</f>
        <v/>
      </c>
      <c r="K10" s="12">
        <f>IFERROR((H10-I10)/H10*100,"")</f>
        <v/>
      </c>
      <c r="L10" s="12">
        <f>IFERROR((I10-J10)/I10*100,"")</f>
        <v/>
      </c>
      <c r="M10" s="12">
        <f>IFERROR(I10/(E10/1000),"")</f>
        <v/>
      </c>
      <c r="N10" s="12">
        <f>IFERROR(I10/(F10*G10),"")</f>
        <v/>
      </c>
      <c r="O10">
        <f>'Benchmark détaillé'!J31</f>
        <v/>
      </c>
      <c r="P10">
        <f>'Benchmark détaillé'!J32</f>
        <v/>
      </c>
      <c r="Q10" s="12">
        <f>IFERROR(VLOOKUP(A10,'Discounts par marque'!$A:$G,4,FALSE),0)</f>
        <v/>
      </c>
      <c r="R10" s="12">
        <f>IFERROR(VLOOKUP(A10,'Discounts par marque'!$A:$G,5,FALSE),0)</f>
        <v/>
      </c>
      <c r="S10" s="12">
        <f>IFERROR(I10*(1-Q10/100),"")</f>
        <v/>
      </c>
      <c r="T10" s="12">
        <f>IFERROR(S10/(F10*G10),"")</f>
        <v/>
      </c>
      <c r="U10" s="12">
        <f>IFERROR(I10*(1-R10/100),"")</f>
        <v/>
      </c>
      <c r="V10" s="12">
        <f>IFERROR(U10/(F10*G10),"")</f>
        <v/>
      </c>
      <c r="W10" s="22" t="inlineStr">
        <is>
          <t>https://www.nutrimuscle.com/products/whey-native-isolate</t>
        </is>
      </c>
    </row>
    <row r="11">
      <c r="A11">
        <f>'Benchmark détaillé'!K1</f>
        <v/>
      </c>
      <c r="B11" t="inlineStr">
        <is>
          <t>Whey Native Isolate</t>
        </is>
      </c>
      <c r="C11">
        <f>'Benchmark détaillé'!K4</f>
        <v/>
      </c>
      <c r="D11">
        <f>'Benchmark détaillé'!K10</f>
        <v/>
      </c>
      <c r="E11">
        <f>'Benchmark détaillé'!K5</f>
        <v/>
      </c>
      <c r="F11">
        <f>'Benchmark détaillé'!K15</f>
        <v/>
      </c>
      <c r="G11">
        <f>'Benchmark détaillé'!K13</f>
        <v/>
      </c>
      <c r="H11">
        <f>'Benchmark détaillé'!K21</f>
        <v/>
      </c>
      <c r="I11">
        <f>'Benchmark détaillé'!K22</f>
        <v/>
      </c>
      <c r="J11">
        <f>'Benchmark détaillé'!K23</f>
        <v/>
      </c>
      <c r="K11" s="12">
        <f>IFERROR((H11-I11)/H11*100,"")</f>
        <v/>
      </c>
      <c r="L11" s="12">
        <f>IFERROR((I11-J11)/I11*100,"")</f>
        <v/>
      </c>
      <c r="M11" s="12">
        <f>IFERROR(I11/(E11/1000),"")</f>
        <v/>
      </c>
      <c r="N11" s="12">
        <f>IFERROR(I11/(F11*G11),"")</f>
        <v/>
      </c>
      <c r="O11">
        <f>'Benchmark détaillé'!K31</f>
        <v/>
      </c>
      <c r="P11">
        <f>'Benchmark détaillé'!K32</f>
        <v/>
      </c>
      <c r="Q11" s="12">
        <f>IFERROR(VLOOKUP(A11,'Discounts par marque'!$A:$G,4,FALSE),0)</f>
        <v/>
      </c>
      <c r="R11" s="12">
        <f>IFERROR(VLOOKUP(A11,'Discounts par marque'!$A:$G,5,FALSE),0)</f>
        <v/>
      </c>
      <c r="S11" s="12">
        <f>IFERROR(I11*(1-Q11/100),"")</f>
        <v/>
      </c>
      <c r="T11" s="12">
        <f>IFERROR(S11/(F11*G11),"")</f>
        <v/>
      </c>
      <c r="U11" s="12">
        <f>IFERROR(I11*(1-R11/100),"")</f>
        <v/>
      </c>
      <c r="V11" s="12">
        <f>IFERROR(U11/(F11*G11),"")</f>
        <v/>
      </c>
      <c r="W11" t="inlineStr">
        <is>
          <t>https://www.nutrimuscle.com/products/whey-isolat-native</t>
        </is>
      </c>
      <c r="X11" t="inlineStr">
        <is>
          <t>v1 avait 39.95€ (+45% correction)</t>
        </is>
      </c>
    </row>
    <row r="12">
      <c r="A12">
        <f>'Benchmark détaillé'!L1</f>
        <v/>
      </c>
      <c r="B12" t="inlineStr">
        <is>
          <t>Whey Native Isolate 2,25kg</t>
        </is>
      </c>
      <c r="C12">
        <f>'Benchmark détaillé'!L4</f>
        <v/>
      </c>
      <c r="D12">
        <f>'Benchmark détaillé'!L10</f>
        <v/>
      </c>
      <c r="E12">
        <f>'Benchmark détaillé'!L5</f>
        <v/>
      </c>
      <c r="F12">
        <f>'Benchmark détaillé'!L15</f>
        <v/>
      </c>
      <c r="G12">
        <f>'Benchmark détaillé'!L13</f>
        <v/>
      </c>
      <c r="H12">
        <f>'Benchmark détaillé'!L21</f>
        <v/>
      </c>
      <c r="I12">
        <f>'Benchmark détaillé'!L22</f>
        <v/>
      </c>
      <c r="J12">
        <f>'Benchmark détaillé'!L23</f>
        <v/>
      </c>
      <c r="K12" s="12">
        <f>IFERROR((H12-I12)/H12*100,"")</f>
        <v/>
      </c>
      <c r="L12" s="12">
        <f>IFERROR((I12-J12)/I12*100,"")</f>
        <v/>
      </c>
      <c r="M12" s="12">
        <f>IFERROR(I12/(E12/1000),"")</f>
        <v/>
      </c>
      <c r="N12" s="12">
        <f>IFERROR(I12/(F12*G12),"")</f>
        <v/>
      </c>
      <c r="O12">
        <f>'Benchmark détaillé'!L31</f>
        <v/>
      </c>
      <c r="P12">
        <f>'Benchmark détaillé'!L32</f>
        <v/>
      </c>
      <c r="Q12" s="12">
        <f>IFERROR(VLOOKUP(A12,'Discounts par marque'!$A:$G,4,FALSE),0)</f>
        <v/>
      </c>
      <c r="R12" s="12">
        <f>IFERROR(VLOOKUP(A12,'Discounts par marque'!$A:$G,5,FALSE),0)</f>
        <v/>
      </c>
      <c r="S12" s="12">
        <f>IFERROR(I12*(1-Q12/100),"")</f>
        <v/>
      </c>
      <c r="T12" s="12">
        <f>IFERROR(S12/(F12*G12),"")</f>
        <v/>
      </c>
      <c r="U12" s="12">
        <f>IFERROR(I12*(1-R12/100),"")</f>
        <v/>
      </c>
      <c r="V12" s="12">
        <f>IFERROR(U12/(F12*G12),"")</f>
        <v/>
      </c>
      <c r="W12" t="inlineStr">
        <is>
          <t>https://www.nutrimuscle.com/products/whey-native-isolate</t>
        </is>
      </c>
    </row>
    <row r="13">
      <c r="A13">
        <f>'Benchmark détaillé'!M1</f>
        <v/>
      </c>
      <c r="B13" t="inlineStr">
        <is>
          <t>Whey Native Isolate 4kg</t>
        </is>
      </c>
      <c r="C13">
        <f>'Benchmark détaillé'!M4</f>
        <v/>
      </c>
      <c r="D13">
        <f>'Benchmark détaillé'!M10</f>
        <v/>
      </c>
      <c r="E13">
        <f>'Benchmark détaillé'!M5</f>
        <v/>
      </c>
      <c r="F13">
        <f>'Benchmark détaillé'!M15</f>
        <v/>
      </c>
      <c r="G13">
        <f>'Benchmark détaillé'!M13</f>
        <v/>
      </c>
      <c r="H13">
        <f>'Benchmark détaillé'!M21</f>
        <v/>
      </c>
      <c r="I13">
        <f>'Benchmark détaillé'!M22</f>
        <v/>
      </c>
      <c r="J13">
        <f>'Benchmark détaillé'!M23</f>
        <v/>
      </c>
      <c r="K13" s="12">
        <f>IFERROR((H13-I13)/H13*100,"")</f>
        <v/>
      </c>
      <c r="L13" s="12">
        <f>IFERROR((I13-J13)/I13*100,"")</f>
        <v/>
      </c>
      <c r="M13" s="12">
        <f>IFERROR(I13/(E13/1000),"")</f>
        <v/>
      </c>
      <c r="N13" s="12">
        <f>IFERROR(I13/(F13*G13),"")</f>
        <v/>
      </c>
      <c r="O13">
        <f>'Benchmark détaillé'!M31</f>
        <v/>
      </c>
      <c r="P13">
        <f>'Benchmark détaillé'!M32</f>
        <v/>
      </c>
      <c r="Q13" s="12">
        <f>IFERROR(VLOOKUP(A13,'Discounts par marque'!$A:$G,4,FALSE),0)</f>
        <v/>
      </c>
      <c r="R13" s="12">
        <f>IFERROR(VLOOKUP(A13,'Discounts par marque'!$A:$G,5,FALSE),0)</f>
        <v/>
      </c>
      <c r="S13" s="12">
        <f>IFERROR(I13*(1-Q13/100),"")</f>
        <v/>
      </c>
      <c r="T13" s="12">
        <f>IFERROR(S13/(F13*G13),"")</f>
        <v/>
      </c>
      <c r="U13" s="12">
        <f>IFERROR(I13*(1-R13/100),"")</f>
        <v/>
      </c>
      <c r="V13" s="12">
        <f>IFERROR(U13/(F13*G13),"")</f>
        <v/>
      </c>
      <c r="W13" t="inlineStr">
        <is>
          <t>https://www.nutrimuscle.com/products/whey-native-isolate</t>
        </is>
      </c>
    </row>
    <row r="14">
      <c r="A14">
        <f>'Benchmark détaillé'!N1</f>
        <v/>
      </c>
      <c r="B14" t="inlineStr">
        <is>
          <t>Whey Native Concentrat 500g</t>
        </is>
      </c>
      <c r="C14">
        <f>'Benchmark détaillé'!N4</f>
        <v/>
      </c>
      <c r="D14">
        <f>'Benchmark détaillé'!N10</f>
        <v/>
      </c>
      <c r="E14">
        <f>'Benchmark détaillé'!N5</f>
        <v/>
      </c>
      <c r="F14">
        <f>'Benchmark détaillé'!N15</f>
        <v/>
      </c>
      <c r="G14">
        <f>'Benchmark détaillé'!N13</f>
        <v/>
      </c>
      <c r="H14">
        <f>'Benchmark détaillé'!N21</f>
        <v/>
      </c>
      <c r="I14">
        <f>'Benchmark détaillé'!N22</f>
        <v/>
      </c>
      <c r="J14">
        <f>'Benchmark détaillé'!N23</f>
        <v/>
      </c>
      <c r="K14" s="12">
        <f>IFERROR((H14-I14)/H14*100,"")</f>
        <v/>
      </c>
      <c r="L14" s="12">
        <f>IFERROR((I14-J14)/I14*100,"")</f>
        <v/>
      </c>
      <c r="M14" s="12">
        <f>IFERROR(I14/(E14/1000),"")</f>
        <v/>
      </c>
      <c r="N14" s="12">
        <f>IFERROR(I14/(F14*G14),"")</f>
        <v/>
      </c>
      <c r="O14">
        <f>'Benchmark détaillé'!N31</f>
        <v/>
      </c>
      <c r="P14">
        <f>'Benchmark détaillé'!N32</f>
        <v/>
      </c>
      <c r="Q14" s="12">
        <f>IFERROR(VLOOKUP(A14,'Discounts par marque'!$A:$G,4,FALSE),0)</f>
        <v/>
      </c>
      <c r="R14" s="12">
        <f>IFERROR(VLOOKUP(A14,'Discounts par marque'!$A:$G,5,FALSE),0)</f>
        <v/>
      </c>
      <c r="S14" s="12">
        <f>IFERROR(I14*(1-Q14/100),"")</f>
        <v/>
      </c>
      <c r="T14" s="12">
        <f>IFERROR(S14/(F14*G14),"")</f>
        <v/>
      </c>
      <c r="U14" s="12">
        <f>IFERROR(I14*(1-R14/100),"")</f>
        <v/>
      </c>
      <c r="V14" s="12">
        <f>IFERROR(U14/(F14*G14),"")</f>
        <v/>
      </c>
      <c r="W14" t="inlineStr">
        <is>
          <t>https://www.nutrimuscle.com/products/whey-native</t>
        </is>
      </c>
    </row>
    <row r="15">
      <c r="A15">
        <f>'Benchmark détaillé'!O1</f>
        <v/>
      </c>
      <c r="B15" t="inlineStr">
        <is>
          <t>Whey Native Concentrat</t>
        </is>
      </c>
      <c r="C15">
        <f>'Benchmark détaillé'!O4</f>
        <v/>
      </c>
      <c r="D15">
        <f>'Benchmark détaillé'!O10</f>
        <v/>
      </c>
      <c r="E15">
        <f>'Benchmark détaillé'!O5</f>
        <v/>
      </c>
      <c r="F15">
        <f>'Benchmark détaillé'!O15</f>
        <v/>
      </c>
      <c r="G15">
        <f>'Benchmark détaillé'!O13</f>
        <v/>
      </c>
      <c r="H15">
        <f>'Benchmark détaillé'!O21</f>
        <v/>
      </c>
      <c r="I15">
        <f>'Benchmark détaillé'!O22</f>
        <v/>
      </c>
      <c r="J15">
        <f>'Benchmark détaillé'!O23</f>
        <v/>
      </c>
      <c r="K15" s="12">
        <f>IFERROR((H15-I15)/H15*100,"")</f>
        <v/>
      </c>
      <c r="L15" s="12">
        <f>IFERROR((I15-J15)/I15*100,"")</f>
        <v/>
      </c>
      <c r="M15" s="12">
        <f>IFERROR(I15/(E15/1000),"")</f>
        <v/>
      </c>
      <c r="N15" s="12">
        <f>IFERROR(I15/(F15*G15),"")</f>
        <v/>
      </c>
      <c r="O15">
        <f>'Benchmark détaillé'!O31</f>
        <v/>
      </c>
      <c r="P15">
        <f>'Benchmark détaillé'!O32</f>
        <v/>
      </c>
      <c r="Q15" s="12">
        <f>IFERROR(VLOOKUP(A15,'Discounts par marque'!$A:$G,4,FALSE),0)</f>
        <v/>
      </c>
      <c r="R15" s="12">
        <f>IFERROR(VLOOKUP(A15,'Discounts par marque'!$A:$G,5,FALSE),0)</f>
        <v/>
      </c>
      <c r="S15" s="12">
        <f>IFERROR(I15*(1-Q15/100),"")</f>
        <v/>
      </c>
      <c r="T15" s="12">
        <f>IFERROR(S15/(F15*G15),"")</f>
        <v/>
      </c>
      <c r="U15" s="12">
        <f>IFERROR(I15*(1-R15/100),"")</f>
        <v/>
      </c>
      <c r="V15" s="12">
        <f>IFERROR(U15/(F15*G15),"")</f>
        <v/>
      </c>
      <c r="W15" t="inlineStr">
        <is>
          <t>https://www.nutrimuscle.com/products/whey-concentree-native</t>
        </is>
      </c>
      <c r="X15" t="inlineStr">
        <is>
          <t>v1 avait 25.95€ (+46% correction)</t>
        </is>
      </c>
    </row>
    <row r="16">
      <c r="A16">
        <f>'Benchmark détaillé'!P1</f>
        <v/>
      </c>
      <c r="B16" t="inlineStr">
        <is>
          <t>Whey Native Concentrat 2,25kg</t>
        </is>
      </c>
      <c r="C16">
        <f>'Benchmark détaillé'!P4</f>
        <v/>
      </c>
      <c r="D16">
        <f>'Benchmark détaillé'!P10</f>
        <v/>
      </c>
      <c r="E16">
        <f>'Benchmark détaillé'!P5</f>
        <v/>
      </c>
      <c r="F16">
        <f>'Benchmark détaillé'!P15</f>
        <v/>
      </c>
      <c r="G16">
        <f>'Benchmark détaillé'!P13</f>
        <v/>
      </c>
      <c r="H16">
        <f>'Benchmark détaillé'!P21</f>
        <v/>
      </c>
      <c r="I16">
        <f>'Benchmark détaillé'!P22</f>
        <v/>
      </c>
      <c r="J16">
        <f>'Benchmark détaillé'!P23</f>
        <v/>
      </c>
      <c r="K16" s="12">
        <f>IFERROR((H16-I16)/H16*100,"")</f>
        <v/>
      </c>
      <c r="L16" s="12">
        <f>IFERROR((I16-J16)/I16*100,"")</f>
        <v/>
      </c>
      <c r="M16" s="12">
        <f>IFERROR(I16/(E16/1000),"")</f>
        <v/>
      </c>
      <c r="N16" s="12">
        <f>IFERROR(I16/(F16*G16),"")</f>
        <v/>
      </c>
      <c r="O16">
        <f>'Benchmark détaillé'!P31</f>
        <v/>
      </c>
      <c r="P16">
        <f>'Benchmark détaillé'!P32</f>
        <v/>
      </c>
      <c r="Q16" s="12">
        <f>IFERROR(VLOOKUP(A16,'Discounts par marque'!$A:$G,4,FALSE),0)</f>
        <v/>
      </c>
      <c r="R16" s="12">
        <f>IFERROR(VLOOKUP(A16,'Discounts par marque'!$A:$G,5,FALSE),0)</f>
        <v/>
      </c>
      <c r="S16" s="12">
        <f>IFERROR(I16*(1-Q16/100),"")</f>
        <v/>
      </c>
      <c r="T16" s="12">
        <f>IFERROR(S16/(F16*G16),"")</f>
        <v/>
      </c>
      <c r="U16" s="12">
        <f>IFERROR(I16*(1-R16/100),"")</f>
        <v/>
      </c>
      <c r="V16" s="12">
        <f>IFERROR(U16/(F16*G16),"")</f>
        <v/>
      </c>
      <c r="W16" t="inlineStr">
        <is>
          <t>https://www.nutrimuscle.com/products/whey-native</t>
        </is>
      </c>
    </row>
    <row r="17">
      <c r="A17">
        <f>'Benchmark détaillé'!Q1</f>
        <v/>
      </c>
      <c r="B17" t="inlineStr">
        <is>
          <t>Whey Native Concentrat 4kg</t>
        </is>
      </c>
      <c r="C17">
        <f>'Benchmark détaillé'!Q4</f>
        <v/>
      </c>
      <c r="D17">
        <f>'Benchmark détaillé'!Q10</f>
        <v/>
      </c>
      <c r="E17">
        <f>'Benchmark détaillé'!Q5</f>
        <v/>
      </c>
      <c r="F17">
        <f>'Benchmark détaillé'!Q15</f>
        <v/>
      </c>
      <c r="G17">
        <f>'Benchmark détaillé'!Q13</f>
        <v/>
      </c>
      <c r="H17">
        <f>'Benchmark détaillé'!Q21</f>
        <v/>
      </c>
      <c r="I17">
        <f>'Benchmark détaillé'!Q22</f>
        <v/>
      </c>
      <c r="J17">
        <f>'Benchmark détaillé'!Q23</f>
        <v/>
      </c>
      <c r="K17" s="12">
        <f>IFERROR((H17-I17)/H17*100,"")</f>
        <v/>
      </c>
      <c r="L17" s="12">
        <f>IFERROR((I17-J17)/I17*100,"")</f>
        <v/>
      </c>
      <c r="M17" s="12">
        <f>IFERROR(I17/(E17/1000),"")</f>
        <v/>
      </c>
      <c r="N17" s="12">
        <f>IFERROR(I17/(F17*G17),"")</f>
        <v/>
      </c>
      <c r="O17">
        <f>'Benchmark détaillé'!Q31</f>
        <v/>
      </c>
      <c r="P17">
        <f>'Benchmark détaillé'!Q32</f>
        <v/>
      </c>
      <c r="Q17" s="12">
        <f>IFERROR(VLOOKUP(A17,'Discounts par marque'!$A:$G,4,FALSE),0)</f>
        <v/>
      </c>
      <c r="R17" s="12">
        <f>IFERROR(VLOOKUP(A17,'Discounts par marque'!$A:$G,5,FALSE),0)</f>
        <v/>
      </c>
      <c r="S17" s="12">
        <f>IFERROR(I17*(1-Q17/100),"")</f>
        <v/>
      </c>
      <c r="T17" s="12">
        <f>IFERROR(S17/(F17*G17),"")</f>
        <v/>
      </c>
      <c r="U17" s="12">
        <f>IFERROR(I17*(1-R17/100),"")</f>
        <v/>
      </c>
      <c r="V17" s="12">
        <f>IFERROR(U17/(F17*G17),"")</f>
        <v/>
      </c>
      <c r="W17" t="inlineStr">
        <is>
          <t>https://www.nutrimuscle.com/products/whey-native</t>
        </is>
      </c>
    </row>
    <row r="18">
      <c r="A18">
        <f>'Benchmark détaillé'!R1</f>
        <v/>
      </c>
      <c r="B18" t="inlineStr">
        <is>
          <t>Whey Isolate Native 900g</t>
        </is>
      </c>
      <c r="C18">
        <f>'Benchmark détaillé'!R4</f>
        <v/>
      </c>
      <c r="D18">
        <f>'Benchmark détaillé'!R10</f>
        <v/>
      </c>
      <c r="E18">
        <f>'Benchmark détaillé'!R5</f>
        <v/>
      </c>
      <c r="F18">
        <f>'Benchmark détaillé'!R15</f>
        <v/>
      </c>
      <c r="G18">
        <f>'Benchmark détaillé'!R13</f>
        <v/>
      </c>
      <c r="H18">
        <f>'Benchmark détaillé'!R21</f>
        <v/>
      </c>
      <c r="I18">
        <f>'Benchmark détaillé'!R22</f>
        <v/>
      </c>
      <c r="J18">
        <f>'Benchmark détaillé'!R23</f>
        <v/>
      </c>
      <c r="K18" s="12">
        <f>IFERROR((H18-I18)/H18*100,"")</f>
        <v/>
      </c>
      <c r="L18" s="12">
        <f>IFERROR((I18-J18)/I18*100,"")</f>
        <v/>
      </c>
      <c r="M18" s="12">
        <f>IFERROR(I18/(E18/1000),"")</f>
        <v/>
      </c>
      <c r="N18" s="12">
        <f>IFERROR(I18/(F18*G18),"")</f>
        <v/>
      </c>
      <c r="O18">
        <f>'Benchmark détaillé'!R31</f>
        <v/>
      </c>
      <c r="P18">
        <f>'Benchmark détaillé'!R32</f>
        <v/>
      </c>
      <c r="Q18" s="12">
        <f>IFERROR(VLOOKUP(A18,'Discounts par marque'!$A:$G,4,FALSE),0)</f>
        <v/>
      </c>
      <c r="R18" s="12">
        <f>IFERROR(VLOOKUP(A18,'Discounts par marque'!$A:$G,5,FALSE),0)</f>
        <v/>
      </c>
      <c r="S18" s="12">
        <f>IFERROR(I18*(1-Q18/100),"")</f>
        <v/>
      </c>
      <c r="T18" s="12">
        <f>IFERROR(S18/(F18*G18),"")</f>
        <v/>
      </c>
      <c r="U18" s="12">
        <f>IFERROR(I18*(1-R18/100),"")</f>
        <v/>
      </c>
      <c r="V18" s="12">
        <f>IFERROR(U18/(F18*G18),"")</f>
        <v/>
      </c>
      <c r="W18" t="inlineStr">
        <is>
          <t>https://nutriandco.com/fr/produits/whey-isolate-native</t>
        </is>
      </c>
    </row>
    <row r="19">
      <c r="A19">
        <f>'Benchmark détaillé'!S1</f>
        <v/>
      </c>
      <c r="B19" t="inlineStr">
        <is>
          <t>Whey Concentrée Native 900g</t>
        </is>
      </c>
      <c r="C19">
        <f>'Benchmark détaillé'!S4</f>
        <v/>
      </c>
      <c r="D19">
        <f>'Benchmark détaillé'!S10</f>
        <v/>
      </c>
      <c r="E19">
        <f>'Benchmark détaillé'!S5</f>
        <v/>
      </c>
      <c r="F19">
        <f>'Benchmark détaillé'!S15</f>
        <v/>
      </c>
      <c r="G19">
        <f>'Benchmark détaillé'!S13</f>
        <v/>
      </c>
      <c r="H19">
        <f>'Benchmark détaillé'!S21</f>
        <v/>
      </c>
      <c r="I19">
        <f>'Benchmark détaillé'!S22</f>
        <v/>
      </c>
      <c r="J19">
        <f>'Benchmark détaillé'!S23</f>
        <v/>
      </c>
      <c r="K19" s="12">
        <f>IFERROR((H19-I19)/H19*100,"")</f>
        <v/>
      </c>
      <c r="L19" s="12">
        <f>IFERROR((I19-J19)/I19*100,"")</f>
        <v/>
      </c>
      <c r="M19" s="12">
        <f>IFERROR(I19/(E19/1000),"")</f>
        <v/>
      </c>
      <c r="N19" s="12">
        <f>IFERROR(I19/(F19*G19),"")</f>
        <v/>
      </c>
      <c r="O19">
        <f>'Benchmark détaillé'!S31</f>
        <v/>
      </c>
      <c r="P19">
        <f>'Benchmark détaillé'!S32</f>
        <v/>
      </c>
      <c r="Q19" s="12">
        <f>IFERROR(VLOOKUP(A19,'Discounts par marque'!$A:$G,4,FALSE),0)</f>
        <v/>
      </c>
      <c r="R19" s="12">
        <f>IFERROR(VLOOKUP(A19,'Discounts par marque'!$A:$G,5,FALSE),0)</f>
        <v/>
      </c>
      <c r="S19" s="12">
        <f>IFERROR(I19*(1-Q19/100),"")</f>
        <v/>
      </c>
      <c r="T19" s="12">
        <f>IFERROR(S19/(F19*G19),"")</f>
        <v/>
      </c>
      <c r="U19" s="12">
        <f>IFERROR(I19*(1-R19/100),"")</f>
        <v/>
      </c>
      <c r="V19" s="12">
        <f>IFERROR(U19/(F19*G19),"")</f>
        <v/>
      </c>
      <c r="W19" t="inlineStr">
        <is>
          <t>https://nutriandco.com/fr/produits/whey-native</t>
        </is>
      </c>
    </row>
    <row r="20">
      <c r="A20">
        <f>'Benchmark détaillé'!T1</f>
        <v/>
      </c>
      <c r="B20" t="inlineStr">
        <is>
          <t>Whey Native 810g</t>
        </is>
      </c>
      <c r="C20">
        <f>'Benchmark détaillé'!T4</f>
        <v/>
      </c>
      <c r="D20">
        <f>'Benchmark détaillé'!T10</f>
        <v/>
      </c>
      <c r="E20">
        <f>'Benchmark détaillé'!T5</f>
        <v/>
      </c>
      <c r="F20">
        <f>'Benchmark détaillé'!T15</f>
        <v/>
      </c>
      <c r="G20">
        <f>'Benchmark détaillé'!T13</f>
        <v/>
      </c>
      <c r="H20">
        <f>'Benchmark détaillé'!T21</f>
        <v/>
      </c>
      <c r="I20">
        <f>'Benchmark détaillé'!T22</f>
        <v/>
      </c>
      <c r="J20">
        <f>'Benchmark détaillé'!T23</f>
        <v/>
      </c>
      <c r="K20" s="12">
        <f>IFERROR((H20-I20)/H20*100,"")</f>
        <v/>
      </c>
      <c r="L20" s="12">
        <f>IFERROR((I20-J20)/I20*100,"")</f>
        <v/>
      </c>
      <c r="M20" s="12">
        <f>IFERROR(I20/(E20/1000),"")</f>
        <v/>
      </c>
      <c r="N20" s="12">
        <f>IFERROR(I20/(F20*G20),"")</f>
        <v/>
      </c>
      <c r="O20">
        <f>'Benchmark détaillé'!T31</f>
        <v/>
      </c>
      <c r="P20">
        <f>'Benchmark détaillé'!T32</f>
        <v/>
      </c>
      <c r="Q20" s="12">
        <f>IFERROR(VLOOKUP(A20,'Discounts par marque'!$A:$G,4,FALSE),0)</f>
        <v/>
      </c>
      <c r="R20" s="12">
        <f>IFERROR(VLOOKUP(A20,'Discounts par marque'!$A:$G,5,FALSE),0)</f>
        <v/>
      </c>
      <c r="S20" s="12">
        <f>IFERROR(I20*(1-Q20/100),"")</f>
        <v/>
      </c>
      <c r="T20" s="12">
        <f>IFERROR(S20/(F20*G20),"")</f>
        <v/>
      </c>
      <c r="U20" s="12">
        <f>IFERROR(I20*(1-R20/100),"")</f>
        <v/>
      </c>
      <c r="V20" s="12">
        <f>IFERROR(U20/(F20*G20),"")</f>
        <v/>
      </c>
      <c r="W20" t="inlineStr">
        <is>
          <t>https://www.aqeelab-nutrition.fr/products/whey-native-fabriquee-en-france-lait-francais</t>
        </is>
      </c>
    </row>
    <row r="21">
      <c r="A21">
        <f>'Benchmark détaillé'!U1</f>
        <v/>
      </c>
      <c r="B21" t="inlineStr">
        <is>
          <t>Iso Zero 100% Whey Protéine 500g</t>
        </is>
      </c>
      <c r="C21">
        <f>'Benchmark détaillé'!U4</f>
        <v/>
      </c>
      <c r="D21">
        <f>'Benchmark détaillé'!U10</f>
        <v/>
      </c>
      <c r="E21">
        <f>'Benchmark détaillé'!U5</f>
        <v/>
      </c>
      <c r="F21">
        <f>'Benchmark détaillé'!U15</f>
        <v/>
      </c>
      <c r="G21">
        <f>'Benchmark détaillé'!U13</f>
        <v/>
      </c>
      <c r="H21">
        <f>'Benchmark détaillé'!U21</f>
        <v/>
      </c>
      <c r="I21">
        <f>'Benchmark détaillé'!U22</f>
        <v/>
      </c>
      <c r="J21">
        <f>'Benchmark détaillé'!U23</f>
        <v/>
      </c>
      <c r="K21" s="12">
        <f>IFERROR((H21-I21)/H21*100,"")</f>
        <v/>
      </c>
      <c r="L21" s="12">
        <f>IFERROR((I21-J21)/I21*100,"")</f>
        <v/>
      </c>
      <c r="M21" s="12">
        <f>IFERROR(I21/(E21/1000),"")</f>
        <v/>
      </c>
      <c r="N21" s="12">
        <f>IFERROR(I21/(F21*G21),"")</f>
        <v/>
      </c>
      <c r="O21">
        <f>'Benchmark détaillé'!U31</f>
        <v/>
      </c>
      <c r="P21">
        <f>'Benchmark détaillé'!U32</f>
        <v/>
      </c>
      <c r="Q21" s="12">
        <f>IFERROR(VLOOKUP(A21,'Discounts par marque'!$A:$G,4,FALSE),0)</f>
        <v/>
      </c>
      <c r="R21" s="12">
        <f>IFERROR(VLOOKUP(A21,'Discounts par marque'!$A:$G,5,FALSE),0)</f>
        <v/>
      </c>
      <c r="S21" s="12">
        <f>IFERROR(I21*(1-Q21/100),"")</f>
        <v/>
      </c>
      <c r="T21" s="12">
        <f>IFERROR(S21/(F21*G21),"")</f>
        <v/>
      </c>
      <c r="U21" s="12">
        <f>IFERROR(I21*(1-R21/100),"")</f>
        <v/>
      </c>
      <c r="V21" s="12">
        <f>IFERROR(U21/(F21*G21),"")</f>
        <v/>
      </c>
      <c r="W21" t="inlineStr">
        <is>
          <t>https://www.ericfavre.com/fr_fr/proteines/iso-zero-100-whey-proteine-cookies-cream-500g-p-194-o-1216.htm</t>
        </is>
      </c>
    </row>
    <row r="22">
      <c r="A22">
        <f>'Benchmark détaillé'!V1</f>
        <v/>
      </c>
      <c r="B22" t="inlineStr">
        <is>
          <t>Iso Zero 100% Whey Protéine 1,5kg</t>
        </is>
      </c>
      <c r="C22">
        <f>'Benchmark détaillé'!V4</f>
        <v/>
      </c>
      <c r="D22">
        <f>'Benchmark détaillé'!V10</f>
        <v/>
      </c>
      <c r="E22">
        <f>'Benchmark détaillé'!V5</f>
        <v/>
      </c>
      <c r="F22">
        <f>'Benchmark détaillé'!V15</f>
        <v/>
      </c>
      <c r="G22">
        <f>'Benchmark détaillé'!V13</f>
        <v/>
      </c>
      <c r="H22">
        <f>'Benchmark détaillé'!V21</f>
        <v/>
      </c>
      <c r="I22">
        <f>'Benchmark détaillé'!V22</f>
        <v/>
      </c>
      <c r="J22">
        <f>'Benchmark détaillé'!V23</f>
        <v/>
      </c>
      <c r="K22" s="12">
        <f>IFERROR((H22-I22)/H22*100,"")</f>
        <v/>
      </c>
      <c r="L22" s="12">
        <f>IFERROR((I22-J22)/I22*100,"")</f>
        <v/>
      </c>
      <c r="M22" s="12">
        <f>IFERROR(I22/(E22/1000),"")</f>
        <v/>
      </c>
      <c r="N22" s="12">
        <f>IFERROR(I22/(F22*G22),"")</f>
        <v/>
      </c>
      <c r="O22">
        <f>'Benchmark détaillé'!V31</f>
        <v/>
      </c>
      <c r="P22">
        <f>'Benchmark détaillé'!V32</f>
        <v/>
      </c>
      <c r="Q22" s="12">
        <f>IFERROR(VLOOKUP(A22,'Discounts par marque'!$A:$G,4,FALSE),0)</f>
        <v/>
      </c>
      <c r="R22" s="12">
        <f>IFERROR(VLOOKUP(A22,'Discounts par marque'!$A:$G,5,FALSE),0)</f>
        <v/>
      </c>
      <c r="S22" s="12">
        <f>IFERROR(I22*(1-Q22/100),"")</f>
        <v/>
      </c>
      <c r="T22" s="12">
        <f>IFERROR(S22/(F22*G22),"")</f>
        <v/>
      </c>
      <c r="U22" s="12">
        <f>IFERROR(I22*(1-R22/100),"")</f>
        <v/>
      </c>
      <c r="V22" s="12">
        <f>IFERROR(U22/(F22*G22),"")</f>
        <v/>
      </c>
      <c r="W22" s="22" t="inlineStr">
        <is>
          <t>https://www.ericfavre.com/fr_fr/proteines/iso-zero-100-whey-proteine-choco-intense-1-5kg-p-194-o-1200.htm</t>
        </is>
      </c>
    </row>
    <row r="23">
      <c r="A23">
        <f>'Benchmark détaillé'!W1</f>
        <v/>
      </c>
      <c r="B23" t="inlineStr">
        <is>
          <t>Iso Zero 100% Whey Protéine 2kg</t>
        </is>
      </c>
      <c r="C23">
        <f>'Benchmark détaillé'!W4</f>
        <v/>
      </c>
      <c r="D23">
        <f>'Benchmark détaillé'!W10</f>
        <v/>
      </c>
      <c r="E23">
        <f>'Benchmark détaillé'!W5</f>
        <v/>
      </c>
      <c r="F23">
        <f>'Benchmark détaillé'!W15</f>
        <v/>
      </c>
      <c r="G23">
        <f>'Benchmark détaillé'!W13</f>
        <v/>
      </c>
      <c r="H23">
        <f>'Benchmark détaillé'!W21</f>
        <v/>
      </c>
      <c r="I23">
        <f>'Benchmark détaillé'!W22</f>
        <v/>
      </c>
      <c r="J23">
        <f>'Benchmark détaillé'!W23</f>
        <v/>
      </c>
      <c r="K23" s="12">
        <f>IFERROR((H23-I23)/H23*100,"")</f>
        <v/>
      </c>
      <c r="L23" s="12">
        <f>IFERROR((I23-J23)/I23*100,"")</f>
        <v/>
      </c>
      <c r="M23" s="12">
        <f>IFERROR(I23/(E23/1000),"")</f>
        <v/>
      </c>
      <c r="N23" s="12">
        <f>IFERROR(I23/(F23*G23),"")</f>
        <v/>
      </c>
      <c r="O23">
        <f>'Benchmark détaillé'!W31</f>
        <v/>
      </c>
      <c r="P23">
        <f>'Benchmark détaillé'!W32</f>
        <v/>
      </c>
      <c r="Q23" s="12">
        <f>IFERROR(VLOOKUP(A23,'Discounts par marque'!$A:$G,4,FALSE),0)</f>
        <v/>
      </c>
      <c r="R23" s="12">
        <f>IFERROR(VLOOKUP(A23,'Discounts par marque'!$A:$G,5,FALSE),0)</f>
        <v/>
      </c>
      <c r="S23" s="12">
        <f>IFERROR(I23*(1-Q23/100),"")</f>
        <v/>
      </c>
      <c r="T23" s="12">
        <f>IFERROR(S23/(F23*G23),"")</f>
        <v/>
      </c>
      <c r="U23" s="12">
        <f>IFERROR(I23*(1-R23/100),"")</f>
        <v/>
      </c>
      <c r="V23" s="12">
        <f>IFERROR(U23/(F23*G23),"")</f>
        <v/>
      </c>
      <c r="W23" t="inlineStr">
        <is>
          <t>https://www.ericfavre.com/fr_fr/proteines/iso-zero-100-whey-proteine-chocotella-2kg-p-194-o-155.htm</t>
        </is>
      </c>
    </row>
    <row r="24">
      <c r="A24">
        <f>'Benchmark détaillé'!X1</f>
        <v/>
      </c>
      <c r="B24" t="inlineStr">
        <is>
          <t>Whey Optimax Protein 500g</t>
        </is>
      </c>
      <c r="C24">
        <f>'Benchmark détaillé'!X4</f>
        <v/>
      </c>
      <c r="D24">
        <f>'Benchmark détaillé'!X10</f>
        <v/>
      </c>
      <c r="E24">
        <f>'Benchmark détaillé'!X5</f>
        <v/>
      </c>
      <c r="F24">
        <f>'Benchmark détaillé'!X15</f>
        <v/>
      </c>
      <c r="G24">
        <f>'Benchmark détaillé'!X13</f>
        <v/>
      </c>
      <c r="H24">
        <f>'Benchmark détaillé'!X21</f>
        <v/>
      </c>
      <c r="I24">
        <f>'Benchmark détaillé'!X22</f>
        <v/>
      </c>
      <c r="J24">
        <f>'Benchmark détaillé'!X23</f>
        <v/>
      </c>
      <c r="K24" s="12">
        <f>IFERROR((H24-I24)/H24*100,"")</f>
        <v/>
      </c>
      <c r="L24" s="12">
        <f>IFERROR((I24-J24)/I24*100,"")</f>
        <v/>
      </c>
      <c r="M24" s="12">
        <f>IFERROR(I24/(E24/1000),"")</f>
        <v/>
      </c>
      <c r="N24" s="12">
        <f>IFERROR(I24/(F24*G24),"")</f>
        <v/>
      </c>
      <c r="O24">
        <f>'Benchmark détaillé'!X31</f>
        <v/>
      </c>
      <c r="P24">
        <f>'Benchmark détaillé'!X32</f>
        <v/>
      </c>
      <c r="Q24" s="12">
        <f>IFERROR(VLOOKUP(A24,'Discounts par marque'!$A:$G,4,FALSE),0)</f>
        <v/>
      </c>
      <c r="R24" s="12">
        <f>IFERROR(VLOOKUP(A24,'Discounts par marque'!$A:$G,5,FALSE),0)</f>
        <v/>
      </c>
      <c r="S24" s="12">
        <f>IFERROR(I24*(1-Q24/100),"")</f>
        <v/>
      </c>
      <c r="T24" s="12">
        <f>IFERROR(S24/(F24*G24),"")</f>
        <v/>
      </c>
      <c r="U24" s="12">
        <f>IFERROR(I24*(1-R24/100),"")</f>
        <v/>
      </c>
      <c r="V24" s="12">
        <f>IFERROR(U24/(F24*G24),"")</f>
        <v/>
      </c>
      <c r="W24" t="inlineStr">
        <is>
          <t>https://www.ericfavre.com/fr_fr/proteines/whey-optimax-protein-biscuit-cookie-500g-p-622-o-1369.htm</t>
        </is>
      </c>
    </row>
    <row r="25">
      <c r="A25">
        <f>'Benchmark détaillé'!Y1</f>
        <v/>
      </c>
      <c r="B25" t="inlineStr">
        <is>
          <t>Whey Optimax Protein 1,5kg</t>
        </is>
      </c>
      <c r="C25">
        <f>'Benchmark détaillé'!Y4</f>
        <v/>
      </c>
      <c r="D25">
        <f>'Benchmark détaillé'!Y10</f>
        <v/>
      </c>
      <c r="E25">
        <f>'Benchmark détaillé'!Y5</f>
        <v/>
      </c>
      <c r="F25">
        <f>'Benchmark détaillé'!Y15</f>
        <v/>
      </c>
      <c r="G25">
        <f>'Benchmark détaillé'!Y13</f>
        <v/>
      </c>
      <c r="H25">
        <f>'Benchmark détaillé'!Y21</f>
        <v/>
      </c>
      <c r="I25">
        <f>'Benchmark détaillé'!Y22</f>
        <v/>
      </c>
      <c r="J25">
        <f>'Benchmark détaillé'!Y23</f>
        <v/>
      </c>
      <c r="K25" s="12">
        <f>IFERROR((H25-I25)/H25*100,"")</f>
        <v/>
      </c>
      <c r="L25" s="12">
        <f>IFERROR((I25-J25)/I25*100,"")</f>
        <v/>
      </c>
      <c r="M25" s="12">
        <f>IFERROR(I25/(E25/1000),"")</f>
        <v/>
      </c>
      <c r="N25" s="12">
        <f>IFERROR(I25/(F25*G25),"")</f>
        <v/>
      </c>
      <c r="O25">
        <f>'Benchmark détaillé'!Y31</f>
        <v/>
      </c>
      <c r="P25">
        <f>'Benchmark détaillé'!Y32</f>
        <v/>
      </c>
      <c r="Q25" s="12">
        <f>IFERROR(VLOOKUP(A25,'Discounts par marque'!$A:$G,4,FALSE),0)</f>
        <v/>
      </c>
      <c r="R25" s="12">
        <f>IFERROR(VLOOKUP(A25,'Discounts par marque'!$A:$G,5,FALSE),0)</f>
        <v/>
      </c>
      <c r="S25" s="12">
        <f>IFERROR(I25*(1-Q25/100),"")</f>
        <v/>
      </c>
      <c r="T25" s="12">
        <f>IFERROR(S25/(F25*G25),"")</f>
        <v/>
      </c>
      <c r="U25" s="12">
        <f>IFERROR(I25*(1-R25/100),"")</f>
        <v/>
      </c>
      <c r="V25" s="12">
        <f>IFERROR(U25/(F25*G25),"")</f>
        <v/>
      </c>
      <c r="W25" t="inlineStr">
        <is>
          <t>https://www.ericfavre.com/fr_fr/proteines/whey-optimax-protein-chocolat-1-5kg-p-622-o-1370.htm</t>
        </is>
      </c>
    </row>
    <row r="26">
      <c r="A26">
        <f>'Benchmark détaillé'!Z1</f>
        <v/>
      </c>
      <c r="B26" t="inlineStr">
        <is>
          <t>Whey Zero Protéine 2kg</t>
        </is>
      </c>
      <c r="C26">
        <f>'Benchmark détaillé'!Z4</f>
        <v/>
      </c>
      <c r="D26">
        <f>'Benchmark détaillé'!Z10</f>
        <v/>
      </c>
      <c r="E26">
        <f>'Benchmark détaillé'!Z5</f>
        <v/>
      </c>
      <c r="F26">
        <f>'Benchmark détaillé'!Z15</f>
        <v/>
      </c>
      <c r="G26">
        <f>'Benchmark détaillé'!Z13</f>
        <v/>
      </c>
      <c r="H26">
        <f>'Benchmark détaillé'!Z21</f>
        <v/>
      </c>
      <c r="I26">
        <f>'Benchmark détaillé'!Z22</f>
        <v/>
      </c>
      <c r="J26">
        <f>'Benchmark détaillé'!Z23</f>
        <v/>
      </c>
      <c r="K26" s="12">
        <f>IFERROR((H26-I26)/H26*100,"")</f>
        <v/>
      </c>
      <c r="L26" s="12">
        <f>IFERROR((I26-J26)/I26*100,"")</f>
        <v/>
      </c>
      <c r="M26" s="12">
        <f>IFERROR(I26/(E26/1000),"")</f>
        <v/>
      </c>
      <c r="N26" s="12">
        <f>IFERROR(I26/(F26*G26),"")</f>
        <v/>
      </c>
      <c r="O26">
        <f>'Benchmark détaillé'!Z31</f>
        <v/>
      </c>
      <c r="P26">
        <f>'Benchmark détaillé'!Z32</f>
        <v/>
      </c>
      <c r="Q26" s="12">
        <f>IFERROR(VLOOKUP(A26,'Discounts par marque'!$A:$G,4,FALSE),0)</f>
        <v/>
      </c>
      <c r="R26" s="12">
        <f>IFERROR(VLOOKUP(A26,'Discounts par marque'!$A:$G,5,FALSE),0)</f>
        <v/>
      </c>
      <c r="S26" s="12">
        <f>IFERROR(I26*(1-Q26/100),"")</f>
        <v/>
      </c>
      <c r="T26" s="12">
        <f>IFERROR(S26/(F26*G26),"")</f>
        <v/>
      </c>
      <c r="U26" s="12">
        <f>IFERROR(I26*(1-R26/100),"")</f>
        <v/>
      </c>
      <c r="V26" s="12">
        <f>IFERROR(U26/(F26*G26),"")</f>
        <v/>
      </c>
      <c r="W26" t="inlineStr">
        <is>
          <t>https://www.ericfavre.com/fr_fr/proteines/whey-zero-chocolat-2kg-p-517-o-1093.htm</t>
        </is>
      </c>
    </row>
    <row r="27">
      <c r="A27">
        <f>'Benchmark détaillé'!AA1</f>
        <v/>
      </c>
      <c r="B27" t="inlineStr">
        <is>
          <t>Iso Fusion Protein Complex 750g</t>
        </is>
      </c>
      <c r="C27">
        <f>'Benchmark détaillé'!AA4</f>
        <v/>
      </c>
      <c r="D27">
        <f>'Benchmark détaillé'!AA10</f>
        <v/>
      </c>
      <c r="E27">
        <f>'Benchmark détaillé'!AA5</f>
        <v/>
      </c>
      <c r="F27">
        <f>'Benchmark détaillé'!AA15</f>
        <v/>
      </c>
      <c r="G27">
        <f>'Benchmark détaillé'!AA13</f>
        <v/>
      </c>
      <c r="H27">
        <f>'Benchmark détaillé'!AA21</f>
        <v/>
      </c>
      <c r="I27">
        <f>'Benchmark détaillé'!AA22</f>
        <v/>
      </c>
      <c r="J27">
        <f>'Benchmark détaillé'!AA23</f>
        <v/>
      </c>
      <c r="K27" s="12">
        <f>IFERROR((H27-I27)/H27*100,"")</f>
        <v/>
      </c>
      <c r="L27" s="12">
        <f>IFERROR((I27-J27)/I27*100,"")</f>
        <v/>
      </c>
      <c r="M27" s="12">
        <f>IFERROR(I27/(E27/1000),"")</f>
        <v/>
      </c>
      <c r="N27" s="12">
        <f>IFERROR(I27/(F27*G27),"")</f>
        <v/>
      </c>
      <c r="O27">
        <f>'Benchmark détaillé'!AA31</f>
        <v/>
      </c>
      <c r="P27">
        <f>'Benchmark détaillé'!AA32</f>
        <v/>
      </c>
      <c r="Q27" s="12">
        <f>IFERROR(VLOOKUP(A27,'Discounts par marque'!$A:$G,4,FALSE),0)</f>
        <v/>
      </c>
      <c r="R27" s="12">
        <f>IFERROR(VLOOKUP(A27,'Discounts par marque'!$A:$G,5,FALSE),0)</f>
        <v/>
      </c>
      <c r="S27" s="12">
        <f>IFERROR(I27*(1-Q27/100),"")</f>
        <v/>
      </c>
      <c r="T27" s="12">
        <f>IFERROR(S27/(F27*G27),"")</f>
        <v/>
      </c>
      <c r="U27" s="12">
        <f>IFERROR(I27*(1-R27/100),"")</f>
        <v/>
      </c>
      <c r="V27" s="12">
        <f>IFERROR(U27/(F27*G27),"")</f>
        <v/>
      </c>
      <c r="W27" t="inlineStr">
        <is>
          <t>https://www.ericfavre.com/fr_fr/proteines/iso-fusion-biscuit-cookie-750g-p-907-o-1924.htm</t>
        </is>
      </c>
    </row>
    <row r="28">
      <c r="A28">
        <f>'Benchmark détaillé'!AB1</f>
        <v/>
      </c>
      <c r="B28" t="inlineStr">
        <is>
          <t>Iso Fusion Protein Complex 2kg</t>
        </is>
      </c>
      <c r="C28">
        <f>'Benchmark détaillé'!AB4</f>
        <v/>
      </c>
      <c r="D28">
        <f>'Benchmark détaillé'!AB10</f>
        <v/>
      </c>
      <c r="E28">
        <f>'Benchmark détaillé'!AB5</f>
        <v/>
      </c>
      <c r="F28">
        <f>'Benchmark détaillé'!AB15</f>
        <v/>
      </c>
      <c r="G28">
        <f>'Benchmark détaillé'!AB13</f>
        <v/>
      </c>
      <c r="H28">
        <f>'Benchmark détaillé'!AB21</f>
        <v/>
      </c>
      <c r="I28">
        <f>'Benchmark détaillé'!AB22</f>
        <v/>
      </c>
      <c r="J28">
        <f>'Benchmark détaillé'!AB23</f>
        <v/>
      </c>
      <c r="K28" s="12">
        <f>IFERROR((H28-I28)/H28*100,"")</f>
        <v/>
      </c>
      <c r="L28" s="12">
        <f>IFERROR((I28-J28)/I28*100,"")</f>
        <v/>
      </c>
      <c r="M28" s="12">
        <f>IFERROR(I28/(E28/1000),"")</f>
        <v/>
      </c>
      <c r="N28" s="12">
        <f>IFERROR(I28/(F28*G28),"")</f>
        <v/>
      </c>
      <c r="O28">
        <f>'Benchmark détaillé'!AB31</f>
        <v/>
      </c>
      <c r="P28">
        <f>'Benchmark détaillé'!AB32</f>
        <v/>
      </c>
      <c r="Q28" s="12">
        <f>IFERROR(VLOOKUP(A28,'Discounts par marque'!$A:$G,4,FALSE),0)</f>
        <v/>
      </c>
      <c r="R28" s="12">
        <f>IFERROR(VLOOKUP(A28,'Discounts par marque'!$A:$G,5,FALSE),0)</f>
        <v/>
      </c>
      <c r="S28" s="12">
        <f>IFERROR(I28*(1-Q28/100),"")</f>
        <v/>
      </c>
      <c r="T28" s="12">
        <f>IFERROR(S28/(F28*G28),"")</f>
        <v/>
      </c>
      <c r="U28" s="12">
        <f>IFERROR(I28*(1-R28/100),"")</f>
        <v/>
      </c>
      <c r="V28" s="12">
        <f>IFERROR(U28/(F28*G28),"")</f>
        <v/>
      </c>
      <c r="W28" t="inlineStr">
        <is>
          <t>https://www.ericfavre.com/fr_fr/proteines/iso-fusion-biscuit-cookie-2kg-p-907-o-1925.htm</t>
        </is>
      </c>
    </row>
    <row r="29">
      <c r="A29">
        <f>'Benchmark détaillé'!AC1</f>
        <v/>
      </c>
      <c r="B29" t="inlineStr">
        <is>
          <t>Pure Isolate 750g</t>
        </is>
      </c>
      <c r="C29">
        <f>'Benchmark détaillé'!AC4</f>
        <v/>
      </c>
      <c r="D29">
        <f>'Benchmark détaillé'!AC10</f>
        <v/>
      </c>
      <c r="E29">
        <f>'Benchmark détaillé'!AC5</f>
        <v/>
      </c>
      <c r="F29">
        <f>'Benchmark détaillé'!AC15</f>
        <v/>
      </c>
      <c r="G29">
        <f>'Benchmark détaillé'!AC13</f>
        <v/>
      </c>
      <c r="H29">
        <f>'Benchmark détaillé'!AC21</f>
        <v/>
      </c>
      <c r="I29">
        <f>'Benchmark détaillé'!AC22</f>
        <v/>
      </c>
      <c r="J29">
        <f>'Benchmark détaillé'!AC23</f>
        <v/>
      </c>
      <c r="K29" s="12">
        <f>IFERROR((H29-I29)/H29*100,"")</f>
        <v/>
      </c>
      <c r="L29" s="12">
        <f>IFERROR((I29-J29)/I29*100,"")</f>
        <v/>
      </c>
      <c r="M29" s="12">
        <f>IFERROR(I29/(E29/1000),"")</f>
        <v/>
      </c>
      <c r="N29" s="12">
        <f>IFERROR(I29/(F29*G29),"")</f>
        <v/>
      </c>
      <c r="O29">
        <f>'Benchmark détaillé'!AC31</f>
        <v/>
      </c>
      <c r="P29">
        <f>'Benchmark détaillé'!AC32</f>
        <v/>
      </c>
      <c r="Q29" s="12">
        <f>IFERROR(VLOOKUP(A29,'Discounts par marque'!$A:$G,4,FALSE),0)</f>
        <v/>
      </c>
      <c r="R29" s="12">
        <f>IFERROR(VLOOKUP(A29,'Discounts par marque'!$A:$G,5,FALSE),0)</f>
        <v/>
      </c>
      <c r="S29" s="12">
        <f>IFERROR(I29*(1-Q29/100),"")</f>
        <v/>
      </c>
      <c r="T29" s="12">
        <f>IFERROR(S29/(F29*G29),"")</f>
        <v/>
      </c>
      <c r="U29" s="12">
        <f>IFERROR(I29*(1-R29/100),"")</f>
        <v/>
      </c>
      <c r="V29" s="12">
        <f>IFERROR(U29/(F29*G29),"")</f>
        <v/>
      </c>
      <c r="W29" t="inlineStr">
        <is>
          <t>https://www.eafit.com/eafit-pure-isolate.html</t>
        </is>
      </c>
    </row>
    <row r="30">
      <c r="A30">
        <f>'Benchmark détaillé'!AD1</f>
        <v/>
      </c>
      <c r="B30" t="inlineStr">
        <is>
          <t>Pure Isolate Premium 750g</t>
        </is>
      </c>
      <c r="C30">
        <f>'Benchmark détaillé'!AD4</f>
        <v/>
      </c>
      <c r="D30">
        <f>'Benchmark détaillé'!AD10</f>
        <v/>
      </c>
      <c r="E30">
        <f>'Benchmark détaillé'!AD5</f>
        <v/>
      </c>
      <c r="F30">
        <f>'Benchmark détaillé'!AD15</f>
        <v/>
      </c>
      <c r="G30">
        <f>'Benchmark détaillé'!AD13</f>
        <v/>
      </c>
      <c r="H30">
        <f>'Benchmark détaillé'!AD21</f>
        <v/>
      </c>
      <c r="I30">
        <f>'Benchmark détaillé'!AD22</f>
        <v/>
      </c>
      <c r="J30">
        <f>'Benchmark détaillé'!AD23</f>
        <v/>
      </c>
      <c r="K30" s="12">
        <f>IFERROR((H30-I30)/H30*100,"")</f>
        <v/>
      </c>
      <c r="L30" s="12">
        <f>IFERROR((I30-J30)/I30*100,"")</f>
        <v/>
      </c>
      <c r="M30" s="12">
        <f>IFERROR(I30/(E30/1000),"")</f>
        <v/>
      </c>
      <c r="N30" s="12">
        <f>IFERROR(I30/(F30*G30),"")</f>
        <v/>
      </c>
      <c r="O30">
        <f>'Benchmark détaillé'!AD31</f>
        <v/>
      </c>
      <c r="P30">
        <f>'Benchmark détaillé'!AD32</f>
        <v/>
      </c>
      <c r="Q30" s="12">
        <f>IFERROR(VLOOKUP(A30,'Discounts par marque'!$A:$G,4,FALSE),0)</f>
        <v/>
      </c>
      <c r="R30" s="12">
        <f>IFERROR(VLOOKUP(A30,'Discounts par marque'!$A:$G,5,FALSE),0)</f>
        <v/>
      </c>
      <c r="S30" s="12">
        <f>IFERROR(I30*(1-Q30/100),"")</f>
        <v/>
      </c>
      <c r="T30" s="12">
        <f>IFERROR(S30/(F30*G30),"")</f>
        <v/>
      </c>
      <c r="U30" s="12">
        <f>IFERROR(I30*(1-R30/100),"")</f>
        <v/>
      </c>
      <c r="V30" s="12">
        <f>IFERROR(U30/(F30*G30),"")</f>
        <v/>
      </c>
      <c r="W30" s="22" t="inlineStr">
        <is>
          <t>https://www.eafit.com/eafit-pure-isolate-premium.html</t>
        </is>
      </c>
    </row>
    <row r="31">
      <c r="A31">
        <f>'Benchmark détaillé'!AE1</f>
        <v/>
      </c>
      <c r="B31" t="inlineStr">
        <is>
          <t>Pure Whey Protein 750g</t>
        </is>
      </c>
      <c r="C31">
        <f>'Benchmark détaillé'!AE4</f>
        <v/>
      </c>
      <c r="D31">
        <f>'Benchmark détaillé'!AE10</f>
        <v/>
      </c>
      <c r="E31">
        <f>'Benchmark détaillé'!AE5</f>
        <v/>
      </c>
      <c r="F31">
        <f>'Benchmark détaillé'!AE15</f>
        <v/>
      </c>
      <c r="G31">
        <f>'Benchmark détaillé'!AE13</f>
        <v/>
      </c>
      <c r="H31">
        <f>'Benchmark détaillé'!AE21</f>
        <v/>
      </c>
      <c r="I31">
        <f>'Benchmark détaillé'!AE22</f>
        <v/>
      </c>
      <c r="J31">
        <f>'Benchmark détaillé'!AE23</f>
        <v/>
      </c>
      <c r="K31" s="12">
        <f>IFERROR((H31-I31)/H31*100,"")</f>
        <v/>
      </c>
      <c r="L31" s="12">
        <f>IFERROR((I31-J31)/I31*100,"")</f>
        <v/>
      </c>
      <c r="M31" s="12">
        <f>IFERROR(I31/(E31/1000),"")</f>
        <v/>
      </c>
      <c r="N31" s="12">
        <f>IFERROR(I31/(F31*G31),"")</f>
        <v/>
      </c>
      <c r="O31">
        <f>'Benchmark détaillé'!AE31</f>
        <v/>
      </c>
      <c r="P31">
        <f>'Benchmark détaillé'!AE32</f>
        <v/>
      </c>
      <c r="Q31" s="12">
        <f>IFERROR(VLOOKUP(A31,'Discounts par marque'!$A:$G,4,FALSE),0)</f>
        <v/>
      </c>
      <c r="R31" s="12">
        <f>IFERROR(VLOOKUP(A31,'Discounts par marque'!$A:$G,5,FALSE),0)</f>
        <v/>
      </c>
      <c r="S31" s="12">
        <f>IFERROR(I31*(1-Q31/100),"")</f>
        <v/>
      </c>
      <c r="T31" s="12">
        <f>IFERROR(S31/(F31*G31),"")</f>
        <v/>
      </c>
      <c r="U31" s="12">
        <f>IFERROR(I31*(1-R31/100),"")</f>
        <v/>
      </c>
      <c r="V31" s="12">
        <f>IFERROR(U31/(F31*G31),"")</f>
        <v/>
      </c>
      <c r="W31" t="inlineStr">
        <is>
          <t>https://www.eafit.com/eafit-pure-whey.html</t>
        </is>
      </c>
    </row>
    <row r="32">
      <c r="A32">
        <f>'Benchmark détaillé'!AF1</f>
        <v/>
      </c>
      <c r="B32" t="inlineStr">
        <is>
          <t>Mega Whey Creatine Complex 750g</t>
        </is>
      </c>
      <c r="C32">
        <f>'Benchmark détaillé'!AF4</f>
        <v/>
      </c>
      <c r="D32">
        <f>'Benchmark détaillé'!AF10</f>
        <v/>
      </c>
      <c r="E32">
        <f>'Benchmark détaillé'!AF5</f>
        <v/>
      </c>
      <c r="F32">
        <f>'Benchmark détaillé'!AF15</f>
        <v/>
      </c>
      <c r="G32">
        <f>'Benchmark détaillé'!AF13</f>
        <v/>
      </c>
      <c r="H32">
        <f>'Benchmark détaillé'!AF21</f>
        <v/>
      </c>
      <c r="I32">
        <f>'Benchmark détaillé'!AF22</f>
        <v/>
      </c>
      <c r="J32">
        <f>'Benchmark détaillé'!AF23</f>
        <v/>
      </c>
      <c r="K32" s="12">
        <f>IFERROR((H32-I32)/H32*100,"")</f>
        <v/>
      </c>
      <c r="L32" s="12">
        <f>IFERROR((I32-J32)/I32*100,"")</f>
        <v/>
      </c>
      <c r="M32" s="12">
        <f>IFERROR(I32/(E32/1000),"")</f>
        <v/>
      </c>
      <c r="N32" s="12">
        <f>IFERROR(I32/(F32*G32),"")</f>
        <v/>
      </c>
      <c r="O32">
        <f>'Benchmark détaillé'!AF31</f>
        <v/>
      </c>
      <c r="P32">
        <f>'Benchmark détaillé'!AF32</f>
        <v/>
      </c>
      <c r="Q32" s="12">
        <f>IFERROR(VLOOKUP(A32,'Discounts par marque'!$A:$G,4,FALSE),0)</f>
        <v/>
      </c>
      <c r="R32" s="12">
        <f>IFERROR(VLOOKUP(A32,'Discounts par marque'!$A:$G,5,FALSE),0)</f>
        <v/>
      </c>
      <c r="S32" s="12">
        <f>IFERROR(I32*(1-Q32/100),"")</f>
        <v/>
      </c>
      <c r="T32" s="12">
        <f>IFERROR(S32/(F32*G32),"")</f>
        <v/>
      </c>
      <c r="U32" s="12">
        <f>IFERROR(I32*(1-R32/100),"")</f>
        <v/>
      </c>
      <c r="V32" s="12">
        <f>IFERROR(U32/(F32*G32),"")</f>
        <v/>
      </c>
      <c r="W32" t="inlineStr">
        <is>
          <t>https://www.eafit.com/eafit-megawhey.html</t>
        </is>
      </c>
    </row>
    <row r="33">
      <c r="A33">
        <f>'Benchmark détaillé'!AG1</f>
        <v/>
      </c>
      <c r="B33" t="inlineStr">
        <is>
          <t>Pure Whey Protein 850g</t>
        </is>
      </c>
      <c r="C33">
        <f>'Benchmark détaillé'!AG4</f>
        <v/>
      </c>
      <c r="D33">
        <f>'Benchmark détaillé'!AG10</f>
        <v/>
      </c>
      <c r="E33">
        <f>'Benchmark détaillé'!AG5</f>
        <v/>
      </c>
      <c r="F33">
        <f>'Benchmark détaillé'!AG15</f>
        <v/>
      </c>
      <c r="G33">
        <f>'Benchmark détaillé'!AG13</f>
        <v/>
      </c>
      <c r="H33">
        <f>'Benchmark détaillé'!AG21</f>
        <v/>
      </c>
      <c r="I33">
        <f>'Benchmark détaillé'!AG22</f>
        <v/>
      </c>
      <c r="J33">
        <f>'Benchmark détaillé'!AG23</f>
        <v/>
      </c>
      <c r="K33" s="12">
        <f>IFERROR((H33-I33)/H33*100,"")</f>
        <v/>
      </c>
      <c r="L33" s="12">
        <f>IFERROR((I33-J33)/I33*100,"")</f>
        <v/>
      </c>
      <c r="M33" s="12">
        <f>IFERROR(I33/(E33/1000),"")</f>
        <v/>
      </c>
      <c r="N33" s="12">
        <f>IFERROR(I33/(F33*G33),"")</f>
        <v/>
      </c>
      <c r="O33">
        <f>'Benchmark détaillé'!AG31</f>
        <v/>
      </c>
      <c r="P33">
        <f>'Benchmark détaillé'!AG32</f>
        <v/>
      </c>
      <c r="Q33" s="12">
        <f>IFERROR(VLOOKUP(A33,'Discounts par marque'!$A:$G,4,FALSE),0)</f>
        <v/>
      </c>
      <c r="R33" s="12">
        <f>IFERROR(VLOOKUP(A33,'Discounts par marque'!$A:$G,5,FALSE),0)</f>
        <v/>
      </c>
      <c r="S33" s="12">
        <f>IFERROR(I33*(1-Q33/100),"")</f>
        <v/>
      </c>
      <c r="T33" s="12">
        <f>IFERROR(S33/(F33*G33),"")</f>
        <v/>
      </c>
      <c r="U33" s="12">
        <f>IFERROR(I33*(1-R33/100),"")</f>
        <v/>
      </c>
      <c r="V33" s="12">
        <f>IFERROR(U33/(F33*G33),"")</f>
        <v/>
      </c>
      <c r="W33" t="inlineStr">
        <is>
          <t>https://www.eafit.com/eafit-pure-whey.html</t>
        </is>
      </c>
    </row>
    <row r="34">
      <c r="A34">
        <f>'Benchmark détaillé'!AH1</f>
        <v/>
      </c>
      <c r="B34" t="inlineStr">
        <is>
          <t>Pure Whey Protein 2.2kg</t>
        </is>
      </c>
      <c r="C34">
        <f>'Benchmark détaillé'!AH4</f>
        <v/>
      </c>
      <c r="D34">
        <f>'Benchmark détaillé'!AH10</f>
        <v/>
      </c>
      <c r="E34">
        <f>'Benchmark détaillé'!AH5</f>
        <v/>
      </c>
      <c r="F34">
        <f>'Benchmark détaillé'!AH15</f>
        <v/>
      </c>
      <c r="G34">
        <f>'Benchmark détaillé'!AH13</f>
        <v/>
      </c>
      <c r="H34">
        <f>'Benchmark détaillé'!AH21</f>
        <v/>
      </c>
      <c r="I34">
        <f>'Benchmark détaillé'!AH22</f>
        <v/>
      </c>
      <c r="J34">
        <f>'Benchmark détaillé'!AH23</f>
        <v/>
      </c>
      <c r="K34" s="12">
        <f>IFERROR((H34-I34)/H34*100,"")</f>
        <v/>
      </c>
      <c r="L34" s="12">
        <f>IFERROR((I34-J34)/I34*100,"")</f>
        <v/>
      </c>
      <c r="M34" s="12">
        <f>IFERROR(I34/(E34/1000),"")</f>
        <v/>
      </c>
      <c r="N34" s="12">
        <f>IFERROR(I34/(F34*G34),"")</f>
        <v/>
      </c>
      <c r="O34">
        <f>'Benchmark détaillé'!AH31</f>
        <v/>
      </c>
      <c r="P34">
        <f>'Benchmark détaillé'!AH32</f>
        <v/>
      </c>
      <c r="Q34" s="12">
        <f>IFERROR(VLOOKUP(A34,'Discounts par marque'!$A:$G,4,FALSE),0)</f>
        <v/>
      </c>
      <c r="R34" s="12">
        <f>IFERROR(VLOOKUP(A34,'Discounts par marque'!$A:$G,5,FALSE),0)</f>
        <v/>
      </c>
      <c r="S34" s="12">
        <f>IFERROR(I34*(1-Q34/100),"")</f>
        <v/>
      </c>
      <c r="T34" s="12">
        <f>IFERROR(S34/(F34*G34),"")</f>
        <v/>
      </c>
      <c r="U34" s="12">
        <f>IFERROR(I34*(1-R34/100),"")</f>
        <v/>
      </c>
      <c r="V34" s="12">
        <f>IFERROR(U34/(F34*G34),"")</f>
        <v/>
      </c>
      <c r="W34" t="inlineStr">
        <is>
          <t>https://www.eafit.com/eafit-pure-whey.html</t>
        </is>
      </c>
    </row>
    <row r="35">
      <c r="A35">
        <f>'Benchmark détaillé'!AI1</f>
        <v/>
      </c>
      <c r="B35" t="inlineStr">
        <is>
          <t>Pure Whey Isolate 1kg</t>
        </is>
      </c>
      <c r="C35">
        <f>'Benchmark détaillé'!AI4</f>
        <v/>
      </c>
      <c r="D35">
        <f>'Benchmark détaillé'!AI10</f>
        <v/>
      </c>
      <c r="E35">
        <f>'Benchmark détaillé'!AI5</f>
        <v/>
      </c>
      <c r="F35">
        <f>'Benchmark détaillé'!AI15</f>
        <v/>
      </c>
      <c r="G35">
        <f>'Benchmark détaillé'!AI13</f>
        <v/>
      </c>
      <c r="H35">
        <f>'Benchmark détaillé'!AI21</f>
        <v/>
      </c>
      <c r="I35">
        <f>'Benchmark détaillé'!AI22</f>
        <v/>
      </c>
      <c r="J35">
        <f>'Benchmark détaillé'!AI23</f>
        <v/>
      </c>
      <c r="K35" s="12">
        <f>IFERROR((H35-I35)/H35*100,"")</f>
        <v/>
      </c>
      <c r="L35" s="12">
        <f>IFERROR((I35-J35)/I35*100,"")</f>
        <v/>
      </c>
      <c r="M35" s="12">
        <f>IFERROR(I35/(E35/1000),"")</f>
        <v/>
      </c>
      <c r="N35" s="12">
        <f>IFERROR(I35/(F35*G35),"")</f>
        <v/>
      </c>
      <c r="O35">
        <f>'Benchmark détaillé'!AI31</f>
        <v/>
      </c>
      <c r="P35">
        <f>'Benchmark détaillé'!AI32</f>
        <v/>
      </c>
      <c r="Q35" s="12">
        <f>IFERROR(VLOOKUP(A35,'Discounts par marque'!$A:$G,4,FALSE),0)</f>
        <v/>
      </c>
      <c r="R35" s="12">
        <f>IFERROR(VLOOKUP(A35,'Discounts par marque'!$A:$G,5,FALSE),0)</f>
        <v/>
      </c>
      <c r="S35" s="12">
        <f>IFERROR(I35*(1-Q35/100),"")</f>
        <v/>
      </c>
      <c r="T35" s="12">
        <f>IFERROR(S35/(F35*G35),"")</f>
        <v/>
      </c>
      <c r="U35" s="12">
        <f>IFERROR(I35*(1-R35/100),"")</f>
        <v/>
      </c>
      <c r="V35" s="12">
        <f>IFERROR(U35/(F35*G35),"")</f>
        <v/>
      </c>
      <c r="W35" t="inlineStr">
        <is>
          <t>https://www.bulk.com/fr/pure-whey-isolate-90.html</t>
        </is>
      </c>
      <c r="X35" t="inlineStr">
        <is>
          <t>Catalogue fictif majeur: 69.99€ barré vs 44.99€ réel (-36%)</t>
        </is>
      </c>
    </row>
    <row r="36">
      <c r="A36">
        <f>'Benchmark détaillé'!AJ1</f>
        <v/>
      </c>
      <c r="B36" t="inlineStr">
        <is>
          <t>Pure Whey Isolate 2,5kg</t>
        </is>
      </c>
      <c r="C36">
        <f>'Benchmark détaillé'!AJ4</f>
        <v/>
      </c>
      <c r="D36">
        <f>'Benchmark détaillé'!AJ10</f>
        <v/>
      </c>
      <c r="E36">
        <f>'Benchmark détaillé'!AJ5</f>
        <v/>
      </c>
      <c r="F36">
        <f>'Benchmark détaillé'!AJ15</f>
        <v/>
      </c>
      <c r="G36">
        <f>'Benchmark détaillé'!AJ13</f>
        <v/>
      </c>
      <c r="H36">
        <f>'Benchmark détaillé'!AJ21</f>
        <v/>
      </c>
      <c r="I36">
        <f>'Benchmark détaillé'!AJ22</f>
        <v/>
      </c>
      <c r="J36">
        <f>'Benchmark détaillé'!AJ23</f>
        <v/>
      </c>
      <c r="K36" s="12">
        <f>IFERROR((H36-I36)/H36*100,"")</f>
        <v/>
      </c>
      <c r="L36" s="12">
        <f>IFERROR((I36-J36)/I36*100,"")</f>
        <v/>
      </c>
      <c r="M36" s="12">
        <f>IFERROR(I36/(E36/1000),"")</f>
        <v/>
      </c>
      <c r="N36" s="12">
        <f>IFERROR(I36/(F36*G36),"")</f>
        <v/>
      </c>
      <c r="O36">
        <f>'Benchmark détaillé'!AJ31</f>
        <v/>
      </c>
      <c r="P36">
        <f>'Benchmark détaillé'!AJ32</f>
        <v/>
      </c>
      <c r="Q36" s="12">
        <f>IFERROR(VLOOKUP(A36,'Discounts par marque'!$A:$G,4,FALSE),0)</f>
        <v/>
      </c>
      <c r="R36" s="12">
        <f>IFERROR(VLOOKUP(A36,'Discounts par marque'!$A:$G,5,FALSE),0)</f>
        <v/>
      </c>
      <c r="S36" s="12">
        <f>IFERROR(I36*(1-Q36/100),"")</f>
        <v/>
      </c>
      <c r="T36" s="12">
        <f>IFERROR(S36/(F36*G36),"")</f>
        <v/>
      </c>
      <c r="U36" s="12">
        <f>IFERROR(I36*(1-R36/100),"")</f>
        <v/>
      </c>
      <c r="V36" s="12">
        <f>IFERROR(U36/(F36*G36),"")</f>
        <v/>
      </c>
      <c r="W36" t="inlineStr">
        <is>
          <t>https://www.bulk.com/fr/pure-whey-isolate-90.html</t>
        </is>
      </c>
      <c r="X36" t="inlineStr">
        <is>
          <t>Catalogue fictif fort: 159.99€ vs 99.99€ réel (-37%)</t>
        </is>
      </c>
    </row>
    <row r="37">
      <c r="A37">
        <f>'Benchmark détaillé'!AK1</f>
        <v/>
      </c>
      <c r="B37" t="inlineStr">
        <is>
          <t>Pure Whey Protein 1kg</t>
        </is>
      </c>
      <c r="C37">
        <f>'Benchmark détaillé'!AK4</f>
        <v/>
      </c>
      <c r="D37">
        <f>'Benchmark détaillé'!AK10</f>
        <v/>
      </c>
      <c r="E37">
        <f>'Benchmark détaillé'!AK5</f>
        <v/>
      </c>
      <c r="F37">
        <f>'Benchmark détaillé'!AK15</f>
        <v/>
      </c>
      <c r="G37">
        <f>'Benchmark détaillé'!AK13</f>
        <v/>
      </c>
      <c r="H37">
        <f>'Benchmark détaillé'!AK21</f>
        <v/>
      </c>
      <c r="I37">
        <f>'Benchmark détaillé'!AK22</f>
        <v/>
      </c>
      <c r="J37">
        <f>'Benchmark détaillé'!AK23</f>
        <v/>
      </c>
      <c r="K37" s="12">
        <f>IFERROR((H37-I37)/H37*100,"")</f>
        <v/>
      </c>
      <c r="L37" s="12">
        <f>IFERROR((I37-J37)/I37*100,"")</f>
        <v/>
      </c>
      <c r="M37" s="12">
        <f>IFERROR(I37/(E37/1000),"")</f>
        <v/>
      </c>
      <c r="N37" s="12">
        <f>IFERROR(I37/(F37*G37),"")</f>
        <v/>
      </c>
      <c r="O37">
        <f>'Benchmark détaillé'!AK31</f>
        <v/>
      </c>
      <c r="P37">
        <f>'Benchmark détaillé'!AK32</f>
        <v/>
      </c>
      <c r="Q37" s="12">
        <f>IFERROR(VLOOKUP(A37,'Discounts par marque'!$A:$G,4,FALSE),0)</f>
        <v/>
      </c>
      <c r="R37" s="12">
        <f>IFERROR(VLOOKUP(A37,'Discounts par marque'!$A:$G,5,FALSE),0)</f>
        <v/>
      </c>
      <c r="S37" s="12">
        <f>IFERROR(I37*(1-Q37/100),"")</f>
        <v/>
      </c>
      <c r="T37" s="12">
        <f>IFERROR(S37/(F37*G37),"")</f>
        <v/>
      </c>
      <c r="U37" s="12">
        <f>IFERROR(I37*(1-R37/100),"")</f>
        <v/>
      </c>
      <c r="V37" s="12">
        <f>IFERROR(U37/(F37*G37),"")</f>
        <v/>
      </c>
      <c r="W37" t="inlineStr">
        <is>
          <t>https://www.bulk.com/fr/pure-whey-protein-1.html</t>
        </is>
      </c>
      <c r="X37" t="inlineStr">
        <is>
          <t>Catalogue partiellement fictif: barré 37.99€ vs current 27.99€ vs marché 23.99€</t>
        </is>
      </c>
    </row>
    <row r="38">
      <c r="A38">
        <f>'Benchmark détaillé'!AL1</f>
        <v/>
      </c>
      <c r="B38" t="inlineStr">
        <is>
          <t>Pure Whey Protein 2,5kg</t>
        </is>
      </c>
      <c r="C38">
        <f>'Benchmark détaillé'!AL4</f>
        <v/>
      </c>
      <c r="D38">
        <f>'Benchmark détaillé'!AL10</f>
        <v/>
      </c>
      <c r="E38">
        <f>'Benchmark détaillé'!AL5</f>
        <v/>
      </c>
      <c r="F38">
        <f>'Benchmark détaillé'!AL15</f>
        <v/>
      </c>
      <c r="G38">
        <f>'Benchmark détaillé'!AL13</f>
        <v/>
      </c>
      <c r="H38">
        <f>'Benchmark détaillé'!AL21</f>
        <v/>
      </c>
      <c r="I38">
        <f>'Benchmark détaillé'!AL22</f>
        <v/>
      </c>
      <c r="J38">
        <f>'Benchmark détaillé'!AL23</f>
        <v/>
      </c>
      <c r="K38" s="12">
        <f>IFERROR((H38-I38)/H38*100,"")</f>
        <v/>
      </c>
      <c r="L38" s="12">
        <f>IFERROR((I38-J38)/I38*100,"")</f>
        <v/>
      </c>
      <c r="M38" s="12">
        <f>IFERROR(I38/(E38/1000),"")</f>
        <v/>
      </c>
      <c r="N38" s="12">
        <f>IFERROR(I38/(F38*G38),"")</f>
        <v/>
      </c>
      <c r="O38">
        <f>'Benchmark détaillé'!AL31</f>
        <v/>
      </c>
      <c r="P38">
        <f>'Benchmark détaillé'!AL32</f>
        <v/>
      </c>
      <c r="Q38" s="12">
        <f>IFERROR(VLOOKUP(A38,'Discounts par marque'!$A:$G,4,FALSE),0)</f>
        <v/>
      </c>
      <c r="R38" s="12">
        <f>IFERROR(VLOOKUP(A38,'Discounts par marque'!$A:$G,5,FALSE),0)</f>
        <v/>
      </c>
      <c r="S38" s="12">
        <f>IFERROR(I38*(1-Q38/100),"")</f>
        <v/>
      </c>
      <c r="T38" s="12">
        <f>IFERROR(S38/(F38*G38),"")</f>
        <v/>
      </c>
      <c r="U38" s="12">
        <f>IFERROR(I38*(1-R38/100),"")</f>
        <v/>
      </c>
      <c r="V38" s="12">
        <f>IFERROR(U38/(F38*G38),"")</f>
        <v/>
      </c>
      <c r="W38" t="inlineStr">
        <is>
          <t>https://www.bulk.com/fr/pure-whey-protein-1.html</t>
        </is>
      </c>
      <c r="X38" t="inlineStr">
        <is>
          <t>Catalogue fictif: 84.99€ barré vs 64.99€ réel (-23%)</t>
        </is>
      </c>
    </row>
    <row r="39">
      <c r="A39">
        <f>'Benchmark détaillé'!AM1</f>
        <v/>
      </c>
      <c r="B39" t="inlineStr">
        <is>
          <t>Pure Whey Protein 5kg</t>
        </is>
      </c>
      <c r="C39">
        <f>'Benchmark détaillé'!AM4</f>
        <v/>
      </c>
      <c r="D39">
        <f>'Benchmark détaillé'!AM10</f>
        <v/>
      </c>
      <c r="E39">
        <f>'Benchmark détaillé'!AM5</f>
        <v/>
      </c>
      <c r="F39">
        <f>'Benchmark détaillé'!AM15</f>
        <v/>
      </c>
      <c r="G39">
        <f>'Benchmark détaillé'!AM13</f>
        <v/>
      </c>
      <c r="H39">
        <f>'Benchmark détaillé'!AM21</f>
        <v/>
      </c>
      <c r="I39">
        <f>'Benchmark détaillé'!AM22</f>
        <v/>
      </c>
      <c r="J39">
        <f>'Benchmark détaillé'!AM23</f>
        <v/>
      </c>
      <c r="K39" s="12">
        <f>IFERROR((H39-I39)/H39*100,"")</f>
        <v/>
      </c>
      <c r="L39" s="12">
        <f>IFERROR((I39-J39)/I39*100,"")</f>
        <v/>
      </c>
      <c r="M39" s="12">
        <f>IFERROR(I39/(E39/1000),"")</f>
        <v/>
      </c>
      <c r="N39" s="12">
        <f>IFERROR(I39/(F39*G39),"")</f>
        <v/>
      </c>
      <c r="O39">
        <f>'Benchmark détaillé'!AM31</f>
        <v/>
      </c>
      <c r="P39">
        <f>'Benchmark détaillé'!AM32</f>
        <v/>
      </c>
      <c r="Q39" s="12">
        <f>IFERROR(VLOOKUP(A39,'Discounts par marque'!$A:$G,4,FALSE),0)</f>
        <v/>
      </c>
      <c r="R39" s="12">
        <f>IFERROR(VLOOKUP(A39,'Discounts par marque'!$A:$G,5,FALSE),0)</f>
        <v/>
      </c>
      <c r="S39" s="12">
        <f>IFERROR(I39*(1-Q39/100),"")</f>
        <v/>
      </c>
      <c r="T39" s="12">
        <f>IFERROR(S39/(F39*G39),"")</f>
        <v/>
      </c>
      <c r="U39" s="12">
        <f>IFERROR(I39*(1-R39/100),"")</f>
        <v/>
      </c>
      <c r="V39" s="12">
        <f>IFERROR(U39/(F39*G39),"")</f>
        <v/>
      </c>
      <c r="W39" t="inlineStr">
        <is>
          <t>https://www.bulk.com/fr/pure-whey-protein-1.html</t>
        </is>
      </c>
      <c r="X39" t="inlineStr">
        <is>
          <t>Catalogue fictif: 159.99€ vs 129.99€ payé (-19%)</t>
        </is>
      </c>
    </row>
    <row r="40">
      <c r="A40">
        <f>'Benchmark détaillé'!AN1</f>
        <v/>
      </c>
      <c r="B40" t="inlineStr">
        <is>
          <t>Clear Whey Isolate 500g</t>
        </is>
      </c>
      <c r="C40">
        <f>'Benchmark détaillé'!AN4</f>
        <v/>
      </c>
      <c r="D40">
        <f>'Benchmark détaillé'!AN10</f>
        <v/>
      </c>
      <c r="E40">
        <f>'Benchmark détaillé'!AN5</f>
        <v/>
      </c>
      <c r="F40">
        <f>'Benchmark détaillé'!AN15</f>
        <v/>
      </c>
      <c r="G40">
        <f>'Benchmark détaillé'!AN13</f>
        <v/>
      </c>
      <c r="H40">
        <f>'Benchmark détaillé'!AN21</f>
        <v/>
      </c>
      <c r="I40">
        <f>'Benchmark détaillé'!AN22</f>
        <v/>
      </c>
      <c r="J40">
        <f>'Benchmark détaillé'!AN23</f>
        <v/>
      </c>
      <c r="K40" s="12">
        <f>IFERROR((H40-I40)/H40*100,"")</f>
        <v/>
      </c>
      <c r="L40" s="12">
        <f>IFERROR((I40-J40)/I40*100,"")</f>
        <v/>
      </c>
      <c r="M40" s="12">
        <f>IFERROR(I40/(E40/1000),"")</f>
        <v/>
      </c>
      <c r="N40" s="12">
        <f>IFERROR(I40/(F40*G40),"")</f>
        <v/>
      </c>
      <c r="O40">
        <f>'Benchmark détaillé'!AN31</f>
        <v/>
      </c>
      <c r="P40">
        <f>'Benchmark détaillé'!AN32</f>
        <v/>
      </c>
      <c r="Q40" s="12">
        <f>IFERROR(VLOOKUP(A40,'Discounts par marque'!$A:$G,4,FALSE),0)</f>
        <v/>
      </c>
      <c r="R40" s="12">
        <f>IFERROR(VLOOKUP(A40,'Discounts par marque'!$A:$G,5,FALSE),0)</f>
        <v/>
      </c>
      <c r="S40" s="12">
        <f>IFERROR(I40*(1-Q40/100),"")</f>
        <v/>
      </c>
      <c r="T40" s="12">
        <f>IFERROR(S40/(F40*G40),"")</f>
        <v/>
      </c>
      <c r="U40" s="12">
        <f>IFERROR(I40*(1-R40/100),"")</f>
        <v/>
      </c>
      <c r="V40" s="12">
        <f>IFERROR(U40/(F40*G40),"")</f>
        <v/>
      </c>
      <c r="W40" t="inlineStr">
        <is>
          <t>https://www.bulk.com/fr/clear-whey-isolate.html</t>
        </is>
      </c>
      <c r="X40" t="inlineStr">
        <is>
          <t>Catalogue 31.49€ barré vs 25.99€ payé (-17%). Marché 22.25€</t>
        </is>
      </c>
    </row>
    <row r="41">
      <c r="A41">
        <f>'Benchmark détaillé'!AO1</f>
        <v/>
      </c>
      <c r="B41" t="inlineStr">
        <is>
          <t>Impact Whey Isolate 1kg</t>
        </is>
      </c>
      <c r="C41">
        <f>'Benchmark détaillé'!AO4</f>
        <v/>
      </c>
      <c r="D41">
        <f>'Benchmark détaillé'!AO10</f>
        <v/>
      </c>
      <c r="E41">
        <f>'Benchmark détaillé'!AO5</f>
        <v/>
      </c>
      <c r="F41">
        <f>'Benchmark détaillé'!AO15</f>
        <v/>
      </c>
      <c r="G41">
        <f>'Benchmark détaillé'!AO13</f>
        <v/>
      </c>
      <c r="H41">
        <f>'Benchmark détaillé'!AO21</f>
        <v/>
      </c>
      <c r="I41">
        <f>'Benchmark détaillé'!AO22</f>
        <v/>
      </c>
      <c r="J41">
        <f>'Benchmark détaillé'!AO23</f>
        <v/>
      </c>
      <c r="K41" s="12">
        <f>IFERROR((H41-I41)/H41*100,"")</f>
        <v/>
      </c>
      <c r="L41" s="12">
        <f>IFERROR((I41-J41)/I41*100,"")</f>
        <v/>
      </c>
      <c r="M41" s="12">
        <f>IFERROR(I41/(E41/1000),"")</f>
        <v/>
      </c>
      <c r="N41" s="12">
        <f>IFERROR(I41/(F41*G41),"")</f>
        <v/>
      </c>
      <c r="O41">
        <f>'Benchmark détaillé'!AO31</f>
        <v/>
      </c>
      <c r="P41">
        <f>'Benchmark détaillé'!AO32</f>
        <v/>
      </c>
      <c r="Q41" s="12">
        <f>IFERROR(VLOOKUP(A41,'Discounts par marque'!$A:$G,4,FALSE),0)</f>
        <v/>
      </c>
      <c r="R41" s="12">
        <f>IFERROR(VLOOKUP(A41,'Discounts par marque'!$A:$G,5,FALSE),0)</f>
        <v/>
      </c>
      <c r="S41" s="12">
        <f>IFERROR(I41*(1-Q41/100),"")</f>
        <v/>
      </c>
      <c r="T41" s="12">
        <f>IFERROR(S41/(F41*G41),"")</f>
        <v/>
      </c>
      <c r="U41" s="12">
        <f>IFERROR(I41*(1-R41/100),"")</f>
        <v/>
      </c>
      <c r="V41" s="12">
        <f>IFERROR(U41/(F41*G41),"")</f>
        <v/>
      </c>
      <c r="W41" t="inlineStr">
        <is>
          <t>https://fr.myprotein.com/p/nutrition-sportive/impact-whey-isolate/10852482/</t>
        </is>
      </c>
      <c r="X41" t="inlineStr">
        <is>
          <t>Isolate EXCLU de la promo -30% MyProtein. Prix current = prix nominal (pas de discount automatique). Revert de l'ancienne estimation ×0.7.</t>
        </is>
      </c>
    </row>
    <row r="42">
      <c r="A42">
        <f>'Benchmark détaillé'!AP1</f>
        <v/>
      </c>
      <c r="B42" t="inlineStr">
        <is>
          <t>Impact Whey Isolate 2,5kg</t>
        </is>
      </c>
      <c r="C42">
        <f>'Benchmark détaillé'!AP4</f>
        <v/>
      </c>
      <c r="D42">
        <f>'Benchmark détaillé'!AP10</f>
        <v/>
      </c>
      <c r="E42">
        <f>'Benchmark détaillé'!AP5</f>
        <v/>
      </c>
      <c r="F42">
        <f>'Benchmark détaillé'!AP15</f>
        <v/>
      </c>
      <c r="G42">
        <f>'Benchmark détaillé'!AP13</f>
        <v/>
      </c>
      <c r="H42">
        <f>'Benchmark détaillé'!AP21</f>
        <v/>
      </c>
      <c r="I42">
        <f>'Benchmark détaillé'!AP22</f>
        <v/>
      </c>
      <c r="J42">
        <f>'Benchmark détaillé'!AP23</f>
        <v/>
      </c>
      <c r="K42" s="12">
        <f>IFERROR((H42-I42)/H42*100,"")</f>
        <v/>
      </c>
      <c r="L42" s="12">
        <f>IFERROR((I42-J42)/I42*100,"")</f>
        <v/>
      </c>
      <c r="M42" s="12">
        <f>IFERROR(I42/(E42/1000),"")</f>
        <v/>
      </c>
      <c r="N42" s="12">
        <f>IFERROR(I42/(F42*G42),"")</f>
        <v/>
      </c>
      <c r="O42">
        <f>'Benchmark détaillé'!AP31</f>
        <v/>
      </c>
      <c r="P42">
        <f>'Benchmark détaillé'!AP32</f>
        <v/>
      </c>
      <c r="Q42" s="12">
        <f>IFERROR(VLOOKUP(A42,'Discounts par marque'!$A:$G,4,FALSE),0)</f>
        <v/>
      </c>
      <c r="R42" s="12">
        <f>IFERROR(VLOOKUP(A42,'Discounts par marque'!$A:$G,5,FALSE),0)</f>
        <v/>
      </c>
      <c r="S42" s="12">
        <f>IFERROR(I42*(1-Q42/100),"")</f>
        <v/>
      </c>
      <c r="T42" s="12">
        <f>IFERROR(S42/(F42*G42),"")</f>
        <v/>
      </c>
      <c r="U42" s="12">
        <f>IFERROR(I42*(1-R42/100),"")</f>
        <v/>
      </c>
      <c r="V42" s="12">
        <f>IFERROR(U42/(F42*G42),"")</f>
        <v/>
      </c>
      <c r="W42" t="inlineStr">
        <is>
          <t>https://fr.myprotein.com/p/nutrition-sportive/impact-whey-isolate-framboise-poche-2.5-kg/10530927/</t>
        </is>
      </c>
      <c r="X42" t="inlineStr">
        <is>
          <t>Confirmé via variant Framboise 2.5kg (10530927) : 124.99€ affiché sans strikethrough. Isolate exclu de la promo -30%.</t>
        </is>
      </c>
    </row>
    <row r="43">
      <c r="A43">
        <f>'Benchmark détaillé'!AQ1</f>
        <v/>
      </c>
      <c r="B43" t="inlineStr">
        <is>
          <t>Impact Whey Protein 1kg</t>
        </is>
      </c>
      <c r="C43">
        <f>'Benchmark détaillé'!AQ4</f>
        <v/>
      </c>
      <c r="D43">
        <f>'Benchmark détaillé'!AQ10</f>
        <v/>
      </c>
      <c r="E43">
        <f>'Benchmark détaillé'!AQ5</f>
        <v/>
      </c>
      <c r="F43">
        <f>'Benchmark détaillé'!AQ15</f>
        <v/>
      </c>
      <c r="G43">
        <f>'Benchmark détaillé'!AQ13</f>
        <v/>
      </c>
      <c r="H43">
        <f>'Benchmark détaillé'!AQ21</f>
        <v/>
      </c>
      <c r="I43">
        <f>'Benchmark détaillé'!AQ22</f>
        <v/>
      </c>
      <c r="J43">
        <f>'Benchmark détaillé'!AQ23</f>
        <v/>
      </c>
      <c r="K43" s="12">
        <f>IFERROR((H43-I43)/H43*100,"")</f>
        <v/>
      </c>
      <c r="L43" s="12">
        <f>IFERROR((I43-J43)/I43*100,"")</f>
        <v/>
      </c>
      <c r="M43" s="12">
        <f>IFERROR(I43/(E43/1000),"")</f>
        <v/>
      </c>
      <c r="N43" s="12">
        <f>IFERROR(I43/(F43*G43),"")</f>
        <v/>
      </c>
      <c r="O43">
        <f>'Benchmark détaillé'!AQ31</f>
        <v/>
      </c>
      <c r="P43">
        <f>'Benchmark détaillé'!AQ32</f>
        <v/>
      </c>
      <c r="Q43" s="12">
        <f>IFERROR(VLOOKUP(A43,'Discounts par marque'!$A:$G,4,FALSE),0)</f>
        <v/>
      </c>
      <c r="R43" s="12">
        <f>IFERROR(VLOOKUP(A43,'Discounts par marque'!$A:$G,5,FALSE),0)</f>
        <v/>
      </c>
      <c r="S43" s="12">
        <f>IFERROR(I43*(1-Q43/100),"")</f>
        <v/>
      </c>
      <c r="T43" s="12">
        <f>IFERROR(S43/(F43*G43),"")</f>
        <v/>
      </c>
      <c r="U43" s="12">
        <f>IFERROR(I43*(1-R43/100),"")</f>
        <v/>
      </c>
      <c r="V43" s="12">
        <f>IFERROR(U43/(F43*G43),"")</f>
        <v/>
      </c>
      <c r="W43" t="inlineStr">
        <is>
          <t>https://fr.myprotein.com/p/nutrition-sportive/myprotein-impact-whey-protein-chocolate-1kg/11068071/</t>
        </is>
      </c>
      <c r="X43" t="inlineStr">
        <is>
          <t>Prix actuel = 17.99€ sur fr.myprotein.com/.../11068071/ (scraped Playwright 2026-04-14). Promo site -30% + extra app ramène à 17.99 vs 41.99 nominal (soit -57%). Pattern MyProtein Whey Protein uniquement.</t>
        </is>
      </c>
    </row>
    <row r="44">
      <c r="A44">
        <f>'Benchmark détaillé'!AR1</f>
        <v/>
      </c>
      <c r="B44" t="inlineStr">
        <is>
          <t>Impact Whey Protein 2,5kg</t>
        </is>
      </c>
      <c r="C44">
        <f>'Benchmark détaillé'!AR4</f>
        <v/>
      </c>
      <c r="D44">
        <f>'Benchmark détaillé'!AR10</f>
        <v/>
      </c>
      <c r="E44">
        <f>'Benchmark détaillé'!AR5</f>
        <v/>
      </c>
      <c r="F44">
        <f>'Benchmark détaillé'!AR15</f>
        <v/>
      </c>
      <c r="G44">
        <f>'Benchmark détaillé'!AR13</f>
        <v/>
      </c>
      <c r="H44">
        <f>'Benchmark détaillé'!AR21</f>
        <v/>
      </c>
      <c r="I44">
        <f>'Benchmark détaillé'!AR22</f>
        <v/>
      </c>
      <c r="J44">
        <f>'Benchmark détaillé'!AR23</f>
        <v/>
      </c>
      <c r="K44" s="12">
        <f>IFERROR((H44-I44)/H44*100,"")</f>
        <v/>
      </c>
      <c r="L44" s="12">
        <f>IFERROR((I44-J44)/I44*100,"")</f>
        <v/>
      </c>
      <c r="M44" s="12">
        <f>IFERROR(I44/(E44/1000),"")</f>
        <v/>
      </c>
      <c r="N44" s="12">
        <f>IFERROR(I44/(F44*G44),"")</f>
        <v/>
      </c>
      <c r="O44">
        <f>'Benchmark détaillé'!AR31</f>
        <v/>
      </c>
      <c r="P44">
        <f>'Benchmark détaillé'!AR32</f>
        <v/>
      </c>
      <c r="Q44" s="12">
        <f>IFERROR(VLOOKUP(A44,'Discounts par marque'!$A:$G,4,FALSE),0)</f>
        <v/>
      </c>
      <c r="R44" s="12">
        <f>IFERROR(VLOOKUP(A44,'Discounts par marque'!$A:$G,5,FALSE),0)</f>
        <v/>
      </c>
      <c r="S44" s="12">
        <f>IFERROR(I44*(1-Q44/100),"")</f>
        <v/>
      </c>
      <c r="T44" s="12">
        <f>IFERROR(S44/(F44*G44),"")</f>
        <v/>
      </c>
      <c r="U44" s="12">
        <f>IFERROR(I44*(1-R44/100),"")</f>
        <v/>
      </c>
      <c r="V44" s="12">
        <f>IFERROR(U44/(F44*G44),"")</f>
        <v/>
      </c>
      <c r="W44" t="inlineStr">
        <is>
          <t>https://fr.myprotein.com/p/nutrition-sportive/myprotein-impact-whey-protein-chocolate-nut-2.5kg/10530969/</t>
        </is>
      </c>
      <c r="X44" t="inlineStr">
        <is>
          <t>Prix scrapé via variant Chocolate Nut 2.5kg (10530969) : 84.99€ barré / 40.99€ actuel. Promo -52%. Playwright 2026-04-14.</t>
        </is>
      </c>
    </row>
    <row r="45">
      <c r="A45">
        <f>'Benchmark détaillé'!AS1</f>
        <v/>
      </c>
      <c r="B45" t="inlineStr">
        <is>
          <t>Impact Whey Protein 5kg (Sans arôme)</t>
        </is>
      </c>
      <c r="C45">
        <f>'Benchmark détaillé'!AS4</f>
        <v/>
      </c>
      <c r="D45">
        <f>'Benchmark détaillé'!AS10</f>
        <v/>
      </c>
      <c r="E45">
        <f>'Benchmark détaillé'!AS5</f>
        <v/>
      </c>
      <c r="F45">
        <f>'Benchmark détaillé'!AS15</f>
        <v/>
      </c>
      <c r="G45">
        <f>'Benchmark détaillé'!AS13</f>
        <v/>
      </c>
      <c r="H45">
        <f>'Benchmark détaillé'!AS21</f>
        <v/>
      </c>
      <c r="I45">
        <f>'Benchmark détaillé'!AS22</f>
        <v/>
      </c>
      <c r="J45">
        <f>'Benchmark détaillé'!AS23</f>
        <v/>
      </c>
      <c r="K45" s="12">
        <f>IFERROR((H45-I45)/H45*100,"")</f>
        <v/>
      </c>
      <c r="L45" s="12">
        <f>IFERROR((I45-J45)/I45*100,"")</f>
        <v/>
      </c>
      <c r="M45" s="12">
        <f>IFERROR(I45/(E45/1000),"")</f>
        <v/>
      </c>
      <c r="N45" s="12">
        <f>IFERROR(I45/(F45*G45),"")</f>
        <v/>
      </c>
      <c r="O45">
        <f>'Benchmark détaillé'!AS31</f>
        <v/>
      </c>
      <c r="P45">
        <f>'Benchmark détaillé'!AS32</f>
        <v/>
      </c>
      <c r="Q45" s="12">
        <f>IFERROR(VLOOKUP(A45,'Discounts par marque'!$A:$G,4,FALSE),0)</f>
        <v/>
      </c>
      <c r="R45" s="12">
        <f>IFERROR(VLOOKUP(A45,'Discounts par marque'!$A:$G,5,FALSE),0)</f>
        <v/>
      </c>
      <c r="S45" s="12">
        <f>IFERROR(I45*(1-Q45/100),"")</f>
        <v/>
      </c>
      <c r="T45" s="12">
        <f>IFERROR(S45/(F45*G45),"")</f>
        <v/>
      </c>
      <c r="U45" s="12">
        <f>IFERROR(I45*(1-R45/100),"")</f>
        <v/>
      </c>
      <c r="V45" s="12">
        <f>IFERROR(U45/(F45*G45),"")</f>
        <v/>
      </c>
      <c r="W45" t="inlineStr">
        <is>
          <t>https://fr.myprotein.com/p/nutrition-sportive/impact-whey-protein/10530943/</t>
        </is>
      </c>
      <c r="X45" t="inlineStr">
        <is>
          <t>5kg n'existe qu'en 'Sans arôme' (chocolat inexistant). Current price = extrapolation du ratio 2.5kg (40.99/84.99=0.482) : 188.99 × 0.482 ≈ 91.10€.</t>
        </is>
      </c>
    </row>
    <row r="46">
      <c r="A46">
        <f>'Benchmark détaillé'!AT1</f>
        <v/>
      </c>
      <c r="B46" t="inlineStr">
        <is>
          <t>Clear Whey Isolate 875g</t>
        </is>
      </c>
      <c r="C46">
        <f>'Benchmark détaillé'!AT4</f>
        <v/>
      </c>
      <c r="D46">
        <f>'Benchmark détaillé'!AT10</f>
        <v/>
      </c>
      <c r="E46">
        <f>'Benchmark détaillé'!AT5</f>
        <v/>
      </c>
      <c r="F46">
        <f>'Benchmark détaillé'!AT15</f>
        <v/>
      </c>
      <c r="G46">
        <f>'Benchmark détaillé'!AT13</f>
        <v/>
      </c>
      <c r="H46">
        <f>'Benchmark détaillé'!AT21</f>
        <v/>
      </c>
      <c r="I46">
        <f>'Benchmark détaillé'!AT22</f>
        <v/>
      </c>
      <c r="J46">
        <f>'Benchmark détaillé'!AT23</f>
        <v/>
      </c>
      <c r="K46" s="12">
        <f>IFERROR((H46-I46)/H46*100,"")</f>
        <v/>
      </c>
      <c r="L46" s="12">
        <f>IFERROR((I46-J46)/I46*100,"")</f>
        <v/>
      </c>
      <c r="M46" s="12">
        <f>IFERROR(I46/(E46/1000),"")</f>
        <v/>
      </c>
      <c r="N46" s="12">
        <f>IFERROR(I46/(F46*G46),"")</f>
        <v/>
      </c>
      <c r="O46">
        <f>'Benchmark détaillé'!AT31</f>
        <v/>
      </c>
      <c r="P46">
        <f>'Benchmark détaillé'!AT32</f>
        <v/>
      </c>
      <c r="Q46" s="12">
        <f>IFERROR(VLOOKUP(A46,'Discounts par marque'!$A:$G,4,FALSE),0)</f>
        <v/>
      </c>
      <c r="R46" s="12">
        <f>IFERROR(VLOOKUP(A46,'Discounts par marque'!$A:$G,5,FALSE),0)</f>
        <v/>
      </c>
      <c r="S46" s="12">
        <f>IFERROR(I46*(1-Q46/100),"")</f>
        <v/>
      </c>
      <c r="T46" s="12">
        <f>IFERROR(S46/(F46*G46),"")</f>
        <v/>
      </c>
      <c r="U46" s="12">
        <f>IFERROR(I46*(1-R46/100),"")</f>
        <v/>
      </c>
      <c r="V46" s="12">
        <f>IFERROR(U46/(F46*G46),"")</f>
        <v/>
      </c>
      <c r="W46" t="inlineStr">
        <is>
          <t>https://fr.myprotein.com/p/nutrition-sportive/clear-whey-isolate/12081395/</t>
        </is>
      </c>
      <c r="X46" t="inlineStr">
        <is>
          <t>Clear Whey exclu de la promo -30% (mention explicite). Format 875g max (pas de 1kg). Confirmé via scraping 12081395.</t>
        </is>
      </c>
    </row>
    <row r="47">
      <c r="A47">
        <f>'Benchmark détaillé'!AU1</f>
        <v/>
      </c>
      <c r="B47" t="inlineStr">
        <is>
          <t>Iso Whey Zero 908g</t>
        </is>
      </c>
      <c r="C47">
        <f>'Benchmark détaillé'!AU4</f>
        <v/>
      </c>
      <c r="D47">
        <f>'Benchmark détaillé'!AU10</f>
        <v/>
      </c>
      <c r="E47">
        <f>'Benchmark détaillé'!AU5</f>
        <v/>
      </c>
      <c r="F47">
        <f>'Benchmark détaillé'!AU15</f>
        <v/>
      </c>
      <c r="G47">
        <f>'Benchmark détaillé'!AU13</f>
        <v/>
      </c>
      <c r="H47">
        <f>'Benchmark détaillé'!AU21</f>
        <v/>
      </c>
      <c r="I47">
        <f>'Benchmark détaillé'!AU22</f>
        <v/>
      </c>
      <c r="J47">
        <f>'Benchmark détaillé'!AU23</f>
        <v/>
      </c>
      <c r="K47" s="12">
        <f>IFERROR((H47-I47)/H47*100,"")</f>
        <v/>
      </c>
      <c r="L47" s="12">
        <f>IFERROR((I47-J47)/I47*100,"")</f>
        <v/>
      </c>
      <c r="M47" s="12">
        <f>IFERROR(I47/(E47/1000),"")</f>
        <v/>
      </c>
      <c r="N47" s="12">
        <f>IFERROR(I47/(F47*G47),"")</f>
        <v/>
      </c>
      <c r="O47">
        <f>'Benchmark détaillé'!AU31</f>
        <v/>
      </c>
      <c r="P47">
        <f>'Benchmark détaillé'!AU32</f>
        <v/>
      </c>
      <c r="Q47" s="12">
        <f>IFERROR(VLOOKUP(A47,'Discounts par marque'!$A:$G,4,FALSE),0)</f>
        <v/>
      </c>
      <c r="R47" s="12">
        <f>IFERROR(VLOOKUP(A47,'Discounts par marque'!$A:$G,5,FALSE),0)</f>
        <v/>
      </c>
      <c r="S47" s="12">
        <f>IFERROR(I47*(1-Q47/100),"")</f>
        <v/>
      </c>
      <c r="T47" s="12">
        <f>IFERROR(S47/(F47*G47),"")</f>
        <v/>
      </c>
      <c r="U47" s="12">
        <f>IFERROR(I47*(1-R47/100),"")</f>
        <v/>
      </c>
      <c r="V47" s="12">
        <f>IFERROR(U47/(F47*G47),"")</f>
        <v/>
      </c>
      <c r="W47" t="inlineStr">
        <is>
          <t>https://shop.biotechusa.fr/products/iso-whey-zero-908-g</t>
        </is>
      </c>
    </row>
    <row r="48">
      <c r="A48">
        <f>'Benchmark détaillé'!AV1</f>
        <v/>
      </c>
      <c r="B48" t="inlineStr">
        <is>
          <t>Iso Whey Zero 1816g</t>
        </is>
      </c>
      <c r="C48">
        <f>'Benchmark détaillé'!AV4</f>
        <v/>
      </c>
      <c r="D48">
        <f>'Benchmark détaillé'!AV10</f>
        <v/>
      </c>
      <c r="E48">
        <f>'Benchmark détaillé'!AV5</f>
        <v/>
      </c>
      <c r="F48">
        <f>'Benchmark détaillé'!AV15</f>
        <v/>
      </c>
      <c r="G48">
        <f>'Benchmark détaillé'!AV13</f>
        <v/>
      </c>
      <c r="H48">
        <f>'Benchmark détaillé'!AV21</f>
        <v/>
      </c>
      <c r="I48">
        <f>'Benchmark détaillé'!AV22</f>
        <v/>
      </c>
      <c r="J48">
        <f>'Benchmark détaillé'!AV23</f>
        <v/>
      </c>
      <c r="K48" s="12">
        <f>IFERROR((H48-I48)/H48*100,"")</f>
        <v/>
      </c>
      <c r="L48" s="12">
        <f>IFERROR((I48-J48)/I48*100,"")</f>
        <v/>
      </c>
      <c r="M48" s="12">
        <f>IFERROR(I48/(E48/1000),"")</f>
        <v/>
      </c>
      <c r="N48" s="12">
        <f>IFERROR(I48/(F48*G48),"")</f>
        <v/>
      </c>
      <c r="O48">
        <f>'Benchmark détaillé'!AV31</f>
        <v/>
      </c>
      <c r="P48">
        <f>'Benchmark détaillé'!AV32</f>
        <v/>
      </c>
      <c r="Q48" s="12">
        <f>IFERROR(VLOOKUP(A48,'Discounts par marque'!$A:$G,4,FALSE),0)</f>
        <v/>
      </c>
      <c r="R48" s="12">
        <f>IFERROR(VLOOKUP(A48,'Discounts par marque'!$A:$G,5,FALSE),0)</f>
        <v/>
      </c>
      <c r="S48" s="12">
        <f>IFERROR(I48*(1-Q48/100),"")</f>
        <v/>
      </c>
      <c r="T48" s="12">
        <f>IFERROR(S48/(F48*G48),"")</f>
        <v/>
      </c>
      <c r="U48" s="12">
        <f>IFERROR(I48*(1-R48/100),"")</f>
        <v/>
      </c>
      <c r="V48" s="12">
        <f>IFERROR(U48/(F48*G48),"")</f>
        <v/>
      </c>
      <c r="W48" t="inlineStr">
        <is>
          <t>https://shop.biotechusa.fr/products/iso-whey-zero-poudre-de-proteine-isolat-1816-g</t>
        </is>
      </c>
    </row>
    <row r="49">
      <c r="A49">
        <f>'Benchmark détaillé'!AW1</f>
        <v/>
      </c>
      <c r="B49" t="inlineStr">
        <is>
          <t>100% Pure Whey 400g</t>
        </is>
      </c>
      <c r="C49">
        <f>'Benchmark détaillé'!AW4</f>
        <v/>
      </c>
      <c r="D49">
        <f>'Benchmark détaillé'!AW10</f>
        <v/>
      </c>
      <c r="E49">
        <f>'Benchmark détaillé'!AW5</f>
        <v/>
      </c>
      <c r="F49">
        <f>'Benchmark détaillé'!AW15</f>
        <v/>
      </c>
      <c r="G49">
        <f>'Benchmark détaillé'!AW13</f>
        <v/>
      </c>
      <c r="H49">
        <f>'Benchmark détaillé'!AW21</f>
        <v/>
      </c>
      <c r="I49">
        <f>'Benchmark détaillé'!AW22</f>
        <v/>
      </c>
      <c r="J49">
        <f>'Benchmark détaillé'!AW23</f>
        <v/>
      </c>
      <c r="K49" s="12">
        <f>IFERROR((H49-I49)/H49*100,"")</f>
        <v/>
      </c>
      <c r="L49" s="12">
        <f>IFERROR((I49-J49)/I49*100,"")</f>
        <v/>
      </c>
      <c r="M49" s="12">
        <f>IFERROR(I49/(E49/1000),"")</f>
        <v/>
      </c>
      <c r="N49" s="12">
        <f>IFERROR(I49/(F49*G49),"")</f>
        <v/>
      </c>
      <c r="O49">
        <f>'Benchmark détaillé'!AW31</f>
        <v/>
      </c>
      <c r="P49">
        <f>'Benchmark détaillé'!AW32</f>
        <v/>
      </c>
      <c r="Q49" s="12">
        <f>IFERROR(VLOOKUP(A49,'Discounts par marque'!$A:$G,4,FALSE),0)</f>
        <v/>
      </c>
      <c r="R49" s="12">
        <f>IFERROR(VLOOKUP(A49,'Discounts par marque'!$A:$G,5,FALSE),0)</f>
        <v/>
      </c>
      <c r="S49" s="12">
        <f>IFERROR(I49*(1-Q49/100),"")</f>
        <v/>
      </c>
      <c r="T49" s="12">
        <f>IFERROR(S49/(F49*G49),"")</f>
        <v/>
      </c>
      <c r="U49" s="12">
        <f>IFERROR(I49*(1-R49/100),"")</f>
        <v/>
      </c>
      <c r="V49" s="12">
        <f>IFERROR(U49/(F49*G49),"")</f>
        <v/>
      </c>
      <c r="W49" t="inlineStr">
        <is>
          <t>https://shop.biotechusa.fr/products/100-pure-whey-400-g</t>
        </is>
      </c>
      <c r="X49" t="inlineStr">
        <is>
          <t>8.2€/100g vs 5.5€/100g sur format 1kg (petit format plus cher)</t>
        </is>
      </c>
    </row>
    <row r="50">
      <c r="A50">
        <f>'Benchmark détaillé'!AX1</f>
        <v/>
      </c>
      <c r="B50" t="inlineStr">
        <is>
          <t>100% Pure Whey 1000g</t>
        </is>
      </c>
      <c r="C50">
        <f>'Benchmark détaillé'!AX4</f>
        <v/>
      </c>
      <c r="D50">
        <f>'Benchmark détaillé'!AX10</f>
        <v/>
      </c>
      <c r="E50">
        <f>'Benchmark détaillé'!AX5</f>
        <v/>
      </c>
      <c r="F50">
        <f>'Benchmark détaillé'!AX15</f>
        <v/>
      </c>
      <c r="G50">
        <f>'Benchmark détaillé'!AX13</f>
        <v/>
      </c>
      <c r="H50">
        <f>'Benchmark détaillé'!AX21</f>
        <v/>
      </c>
      <c r="I50">
        <f>'Benchmark détaillé'!AX22</f>
        <v/>
      </c>
      <c r="J50">
        <f>'Benchmark détaillé'!AX23</f>
        <v/>
      </c>
      <c r="K50" s="12">
        <f>IFERROR((H50-I50)/H50*100,"")</f>
        <v/>
      </c>
      <c r="L50" s="12">
        <f>IFERROR((I50-J50)/I50*100,"")</f>
        <v/>
      </c>
      <c r="M50" s="12">
        <f>IFERROR(I50/(E50/1000),"")</f>
        <v/>
      </c>
      <c r="N50" s="12">
        <f>IFERROR(I50/(F50*G50),"")</f>
        <v/>
      </c>
      <c r="O50">
        <f>'Benchmark détaillé'!AX31</f>
        <v/>
      </c>
      <c r="P50">
        <f>'Benchmark détaillé'!AX32</f>
        <v/>
      </c>
      <c r="Q50" s="12">
        <f>IFERROR(VLOOKUP(A50,'Discounts par marque'!$A:$G,4,FALSE),0)</f>
        <v/>
      </c>
      <c r="R50" s="12">
        <f>IFERROR(VLOOKUP(A50,'Discounts par marque'!$A:$G,5,FALSE),0)</f>
        <v/>
      </c>
      <c r="S50" s="12">
        <f>IFERROR(I50*(1-Q50/100),"")</f>
        <v/>
      </c>
      <c r="T50" s="12">
        <f>IFERROR(S50/(F50*G50),"")</f>
        <v/>
      </c>
      <c r="U50" s="12">
        <f>IFERROR(I50*(1-R50/100),"")</f>
        <v/>
      </c>
      <c r="V50" s="12">
        <f>IFERROR(U50/(F50*G50),"")</f>
        <v/>
      </c>
      <c r="W50" t="inlineStr">
        <is>
          <t>https://shop.biotechusa.fr/products/100-pure-whey-renouvele-1000-g</t>
        </is>
      </c>
      <c r="X50" t="inlineStr">
        <is>
          <t>GROS ÉCART : site marque 54.90€ vs idealo 27.02€ (-51%). Cross-retailers beaucoup moins cher.</t>
        </is>
      </c>
    </row>
    <row r="51">
      <c r="A51">
        <f>'Benchmark détaillé'!AY1</f>
        <v/>
      </c>
      <c r="B51" t="inlineStr">
        <is>
          <t>100% Pure Whey 2000g</t>
        </is>
      </c>
      <c r="C51">
        <f>'Benchmark détaillé'!AY4</f>
        <v/>
      </c>
      <c r="D51">
        <f>'Benchmark détaillé'!AY10</f>
        <v/>
      </c>
      <c r="E51">
        <f>'Benchmark détaillé'!AY5</f>
        <v/>
      </c>
      <c r="F51">
        <f>'Benchmark détaillé'!AY15</f>
        <v/>
      </c>
      <c r="G51">
        <f>'Benchmark détaillé'!AY13</f>
        <v/>
      </c>
      <c r="H51">
        <f>'Benchmark détaillé'!AY21</f>
        <v/>
      </c>
      <c r="I51">
        <f>'Benchmark détaillé'!AY22</f>
        <v/>
      </c>
      <c r="J51">
        <f>'Benchmark détaillé'!AY23</f>
        <v/>
      </c>
      <c r="K51" s="12">
        <f>IFERROR((H51-I51)/H51*100,"")</f>
        <v/>
      </c>
      <c r="L51" s="12">
        <f>IFERROR((I51-J51)/I51*100,"")</f>
        <v/>
      </c>
      <c r="M51" s="12">
        <f>IFERROR(I51/(E51/1000),"")</f>
        <v/>
      </c>
      <c r="N51" s="12">
        <f>IFERROR(I51/(F51*G51),"")</f>
        <v/>
      </c>
      <c r="O51">
        <f>'Benchmark détaillé'!AY31</f>
        <v/>
      </c>
      <c r="P51">
        <f>'Benchmark détaillé'!AY32</f>
        <v/>
      </c>
      <c r="Q51" s="12">
        <f>IFERROR(VLOOKUP(A51,'Discounts par marque'!$A:$G,4,FALSE),0)</f>
        <v/>
      </c>
      <c r="R51" s="12">
        <f>IFERROR(VLOOKUP(A51,'Discounts par marque'!$A:$G,5,FALSE),0)</f>
        <v/>
      </c>
      <c r="S51" s="12">
        <f>IFERROR(I51*(1-Q51/100),"")</f>
        <v/>
      </c>
      <c r="T51" s="12">
        <f>IFERROR(S51/(F51*G51),"")</f>
        <v/>
      </c>
      <c r="U51" s="12">
        <f>IFERROR(I51*(1-R51/100),"")</f>
        <v/>
      </c>
      <c r="V51" s="12">
        <f>IFERROR(U51/(F51*G51),"")</f>
        <v/>
      </c>
      <c r="W51" t="inlineStr">
        <is>
          <t>https://shop.biotechusa.fr/products/100-pure-whey-2000-g</t>
        </is>
      </c>
      <c r="X51" t="inlineStr">
        <is>
          <t>Cohérent avec 1kg : site marque surcoté vs cross-retailers (~-40-50%)</t>
        </is>
      </c>
    </row>
  </sheetData>
  <hyperlinks>
    <hyperlink xmlns:r="http://schemas.openxmlformats.org/officeDocument/2006/relationships" ref="W8" location="/332-poids_poudre-seau_2kg" r:id="rId1"/>
    <hyperlink xmlns:r="http://schemas.openxmlformats.org/officeDocument/2006/relationships" ref="W10" r:id="rId2"/>
    <hyperlink xmlns:r="http://schemas.openxmlformats.org/officeDocument/2006/relationships" ref="W22" r:id="rId3"/>
    <hyperlink xmlns:r="http://schemas.openxmlformats.org/officeDocument/2006/relationships" ref="W30"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
  <sheetViews>
    <sheetView workbookViewId="0">
      <pane xSplit="1" ySplit="1" topLeftCell="B6" activePane="bottomRight" state="frozen"/>
      <selection pane="topRight" activeCell="A1" sqref="A1"/>
      <selection pane="bottomLeft" activeCell="A1" sqref="A1"/>
      <selection pane="bottomRight" activeCell="A8" sqref="A8:XFD8"/>
    </sheetView>
  </sheetViews>
  <sheetFormatPr baseColWidth="10" defaultColWidth="8.7265625" defaultRowHeight="14.5"/>
  <cols>
    <col width="14" customWidth="1" style="24" min="1" max="1"/>
    <col width="10" customWidth="1" style="24" min="2" max="2"/>
    <col width="16" customWidth="1" style="24" min="3" max="6"/>
    <col width="18" customWidth="1" style="24" min="7" max="7"/>
    <col width="16" customWidth="1" style="24" min="8" max="8"/>
    <col width="34" customWidth="1" style="24" min="9" max="9"/>
    <col width="10" customWidth="1" style="24" min="10" max="10"/>
    <col width="30" customWidth="1" style="24" min="11" max="11"/>
    <col width="40" customWidth="1" style="24" min="12" max="13"/>
  </cols>
  <sheetData>
    <row r="1">
      <c r="A1" s="21" t="inlineStr">
        <is>
          <t>Marque</t>
        </is>
      </c>
      <c r="B1" s="21" t="inlineStr">
        <is>
          <t>1ère cmd (%)</t>
        </is>
      </c>
      <c r="C1" s="21" t="inlineStr">
        <is>
          <t>Remise bas fourchette (%)</t>
        </is>
      </c>
      <c r="D1" s="21" t="inlineStr">
        <is>
          <t>Remise client standard (%)</t>
        </is>
      </c>
      <c r="E1" s="21" t="inlineStr">
        <is>
          <t>Remise client averti (%)</t>
        </is>
      </c>
      <c r="F1" s="21" t="inlineStr">
        <is>
          <t>Remise plafond observé (%)</t>
        </is>
      </c>
      <c r="G1" s="21" t="inlineStr">
        <is>
          <t>% prix réel vs catalogue</t>
        </is>
      </c>
      <c r="H1" s="21" t="inlineStr">
        <is>
          <t>Fréquence promo</t>
        </is>
      </c>
      <c r="I1" s="21" t="inlineStr">
        <is>
          <t>Codes (top 5)</t>
        </is>
      </c>
      <c r="J1" s="21" t="inlineStr">
        <is>
          <t>N codes sourcés</t>
        </is>
      </c>
      <c r="K1" s="21" t="inlineStr">
        <is>
          <t>Règles stacking</t>
        </is>
      </c>
      <c r="L1" s="21" t="inlineStr">
        <is>
          <t>Note</t>
        </is>
      </c>
      <c r="M1" s="21" t="inlineStr">
        <is>
          <t>Sources</t>
        </is>
      </c>
    </row>
    <row r="2" ht="95.15000000000001" customHeight="1" s="24">
      <c r="A2" s="10" t="inlineStr">
        <is>
          <t>IMPULSE</t>
        </is>
      </c>
      <c r="B2" s="10" t="n">
        <v>10</v>
      </c>
      <c r="C2" s="10" t="n">
        <v>15</v>
      </c>
      <c r="D2" s="10" t="n">
        <v>15</v>
      </c>
      <c r="E2" s="10" t="n">
        <v>15</v>
      </c>
      <c r="F2" s="10" t="n">
        <v>15</v>
      </c>
      <c r="G2" s="10" t="n">
        <v>85</v>
      </c>
      <c r="H2" s="10" t="inlineStr">
        <is>
          <t>ponctuel</t>
        </is>
      </c>
      <c r="I2" s="10" t="inlineStr">
        <is>
          <t>LORENA 15% (@lorena)</t>
        </is>
      </c>
      <c r="J2" s="10" t="n">
        <v>1</v>
      </c>
      <c r="K2" s="10" t="inlineStr">
        <is>
          <t>10% première commande ne stacke pas avec code ambassadeur; parrainage 15% sur 1ère commande + 10% parrain</t>
        </is>
      </c>
      <c r="L2" s="10" t="inlineStr">
        <is>
          <t>Politique -10% bienvenue homepage; codes ambassadeurs typiquement 15%. Pas de promo quasi-permanente publique.</t>
        </is>
      </c>
      <c r="M2" s="10" t="inlineStr">
        <is>
          <t>https://impulse-nutrition.fr
https://impulse-nutrition.fr/pages/refer
https://fr.hotdeals.com/code-promo/impulse-nutrition</t>
        </is>
      </c>
    </row>
    <row r="3" ht="95.15000000000001" customHeight="1" s="24">
      <c r="A3" s="10" t="inlineStr">
        <is>
          <t>NUTRIPURE</t>
        </is>
      </c>
      <c r="B3" s="10" t="n">
        <v>10</v>
      </c>
      <c r="C3" s="10" t="n"/>
      <c r="D3" s="10" t="n"/>
      <c r="E3" s="10" t="n"/>
      <c r="F3" s="10" t="n"/>
      <c r="G3" s="10" t="n"/>
      <c r="H3" s="10" t="inlineStr">
        <is>
          <t>aucun</t>
        </is>
      </c>
      <c r="I3" s="10" t="n"/>
      <c r="J3" s="10" t="n">
        <v>0</v>
      </c>
      <c r="K3" s="10" t="inlineStr">
        <is>
          <t>Pas de cumul; 10% fidélité + 10% packs intégré</t>
        </is>
      </c>
      <c r="L3" s="10" t="inlineStr">
        <is>
          <t>Politique anti-promo délibérée. Pas de Black Friday, pas de codes influenceurs &gt;10%. Seuls le parrainage (10%) et les packs (10-25% intégrés) existent. Le prix catalogue est le vrai prix.</t>
        </is>
      </c>
      <c r="M3" s="10" t="inlineStr">
        <is>
          <t>https://www.nutripure.fr/fr/info/29-code-promo-nutripure
https://www.edp-nutrition.fr/code-promo-nutripure-influenceur/</t>
        </is>
      </c>
    </row>
    <row r="4" ht="95.15000000000001" customHeight="1" s="24">
      <c r="A4" s="10" t="inlineStr">
        <is>
          <t>NUTRIMUSCLE</t>
        </is>
      </c>
      <c r="B4" s="10" t="n"/>
      <c r="C4" s="10" t="n">
        <v>10</v>
      </c>
      <c r="D4" s="10" t="n">
        <v>10</v>
      </c>
      <c r="E4" s="10" t="n">
        <v>10</v>
      </c>
      <c r="F4" s="10" t="n">
        <v>10</v>
      </c>
      <c r="G4" s="10" t="n">
        <v>90</v>
      </c>
      <c r="H4" s="10" t="inlineStr">
        <is>
          <t>ponctuel</t>
        </is>
      </c>
      <c r="I4" s="10" t="inlineStr">
        <is>
          <t>NMA_HYBRIDX5 10% (@valentingenest)
NME_NABFIT 5% (@nabfit)
NME_NUTRITION5 5% (générique)</t>
        </is>
      </c>
      <c r="J4" s="10" t="n">
        <v>3</v>
      </c>
      <c r="K4" s="10" t="inlineStr">
        <is>
          <t>Codes 5-10% cumulables avec packs réduits; ventes -20% saisonnières</t>
        </is>
      </c>
      <c r="L4" s="10" t="inlineStr">
        <is>
          <t>Politique codes influenceurs très modérés (5-10%, rarement 15%). Promos -20% uniquement en périodes soldes/Black Friday.</t>
        </is>
      </c>
      <c r="M4" s="10" t="inlineStr">
        <is>
          <t>https://www.dealabs.com/codes-promo/nutrimuscle.com
https://eu.nutrimuscle.com/pages/nos-offres
https://www.influenceur.promo/marques/nutrimuscle/</t>
        </is>
      </c>
    </row>
    <row r="5" ht="95.15000000000001" customHeight="1" s="24">
      <c r="A5" s="10" t="inlineStr">
        <is>
          <t>NUTRI&amp;CO</t>
        </is>
      </c>
      <c r="B5" s="10" t="n">
        <v>10</v>
      </c>
      <c r="C5" s="10" t="n">
        <v>10</v>
      </c>
      <c r="D5" s="10" t="n">
        <v>10</v>
      </c>
      <c r="E5" s="10" t="n">
        <v>10</v>
      </c>
      <c r="F5" s="10" t="n">
        <v>10</v>
      </c>
      <c r="G5" s="10" t="n">
        <v>90</v>
      </c>
      <c r="H5" s="10" t="inlineStr">
        <is>
          <t>ponctuel</t>
        </is>
      </c>
      <c r="I5" s="10" t="inlineStr">
        <is>
          <t>LESAVISDEMILIE10 10% (@lesavisdemilie)
FITBYALEXIA 10% (@fitbyalexia)</t>
        </is>
      </c>
      <c r="J5" s="10" t="n">
        <v>2</v>
      </c>
      <c r="K5" s="10" t="inlineStr">
        <is>
          <t>Codes plafonnés à 10%, durée limitée</t>
        </is>
      </c>
      <c r="L5" s="10" t="inlineStr">
        <is>
          <t>Politique codes influenceurs plafonnée à 10%. Positionnement santé/premium, promos modérées.</t>
        </is>
      </c>
      <c r="M5" s="10" t="inlineStr">
        <is>
          <t>https://www.influenceur.promo/marques/nutrico/
https://www.edp-nutrition.fr/code-promo-nutri-and-co-influenceur/</t>
        </is>
      </c>
    </row>
    <row r="6" ht="95.15000000000001" customHeight="1" s="24">
      <c r="A6" s="10" t="inlineStr">
        <is>
          <t>AQEELAB</t>
        </is>
      </c>
      <c r="B6" s="10" t="n">
        <v>15</v>
      </c>
      <c r="C6" s="10" t="n">
        <v>12</v>
      </c>
      <c r="D6" s="10" t="n">
        <v>12</v>
      </c>
      <c r="E6" s="10" t="n">
        <v>12</v>
      </c>
      <c r="F6" s="10" t="n">
        <v>12</v>
      </c>
      <c r="G6" s="10" t="n">
        <v>88</v>
      </c>
      <c r="H6" s="10" t="inlineStr">
        <is>
          <t>quasi-permanent</t>
        </is>
      </c>
      <c r="I6" s="10" t="inlineStr">
        <is>
          <t>LEVAND 20% (@alex.levand)
TRISTAN15 15% (@tristan)
CREATINATOR 10% (@creatinator)</t>
        </is>
      </c>
      <c r="J6" s="10" t="n">
        <v>3</v>
      </c>
      <c r="K6" s="10" t="inlineStr">
        <is>
          <t>Codes sans minimum, sans date d'expiration, année entière</t>
        </is>
      </c>
      <c r="L6" s="10" t="inlineStr">
        <is>
          <t>Page officielle liste tous les codes (-5/-10/-15%/-25€). Politique transparente, codes stables toute l'année.</t>
        </is>
      </c>
      <c r="M6" s="10" t="inlineStr">
        <is>
          <t>https://www.aqeelab-nutrition.fr/pages/des-conseils-des-infos-et-des-reductions
https://nabfit.fr/complements-alimentaires-musculation/pas-chers/codes-promo/aqeelab-nutrition/</t>
        </is>
      </c>
    </row>
    <row r="7" ht="95.15000000000001" customHeight="1" s="24">
      <c r="A7" s="10" t="inlineStr">
        <is>
          <t>ERIC FAVRE</t>
        </is>
      </c>
      <c r="B7" s="10" t="n">
        <v>10</v>
      </c>
      <c r="C7" s="10" t="n">
        <v>10</v>
      </c>
      <c r="D7" s="10" t="n">
        <v>10</v>
      </c>
      <c r="E7" s="10" t="n">
        <v>15</v>
      </c>
      <c r="F7" s="10" t="n">
        <v>20</v>
      </c>
      <c r="G7" s="10" t="n">
        <v>85</v>
      </c>
      <c r="H7" s="10" t="inlineStr">
        <is>
          <t>quasi-permanent</t>
        </is>
      </c>
      <c r="I7" s="10" t="inlineStr">
        <is>
          <t>SUPER20 20% (code site (&gt;=120€))
NPNG20 20% (code événementiel)
BODY15 15% (code partenaire)
EFNFC10 10% (@essan_nfc)
FAVRE10 10% (code site générique)</t>
        </is>
      </c>
      <c r="J7" s="10" t="n">
        <v>6</v>
      </c>
      <c r="K7" s="10" t="inlineStr">
        <is>
          <t>Programme influenceur limité (~5 ambassadeurs identifiés). Codes site 10% no-min, 20% SUPER20 avec min 120€. Pas de cumul.</t>
        </is>
      </c>
      <c r="L7" s="10" t="inlineStr">
        <is>
          <t>Programme ambassadeur très modeste — Eric Favre est positionné plus pharmacie/pro-sport que fitness mass-market. Essan NFC est le seul vrai ambassadeur agrégé avec 1087 utilisations. P50=10%, P90=15%. Client averti paye ~85% du catalogue.</t>
        </is>
      </c>
      <c r="M7" s="10" t="inlineStr">
        <is>
          <t>https://www.ericfavre.com/fr_fr/reductions-codes-promo
https://www.influenceur.promo/marques/eric-favre/
https://fr.hotdeals.com/store/code-promo-eric-favre</t>
        </is>
      </c>
    </row>
    <row r="8" ht="95.15000000000001" customHeight="1" s="24">
      <c r="A8" s="10" t="inlineStr">
        <is>
          <t>EAFIT</t>
        </is>
      </c>
      <c r="B8" s="10" t="n">
        <v>30</v>
      </c>
      <c r="C8" s="10" t="n">
        <v>20</v>
      </c>
      <c r="D8" s="10" t="n">
        <v>32</v>
      </c>
      <c r="E8" s="10" t="n">
        <v>32</v>
      </c>
      <c r="F8" s="10" t="n">
        <v>35</v>
      </c>
      <c r="G8" s="10" t="n">
        <v>68</v>
      </c>
      <c r="H8" s="10" t="inlineStr">
        <is>
          <t>quasi-permanent</t>
        </is>
      </c>
      <c r="I8" s="10" t="inlineStr">
        <is>
          <t>CPS32 32% (@tamara.awada)
MARION32 32% (@mrsmariont)
MATHILDE32 32% (@mathildegros)
TATIANA32 32% (@tatianamembre)
ILONA32 32% (@ilonafrigout)</t>
        </is>
      </c>
      <c r="J8" s="10" t="n">
        <v>10</v>
      </c>
      <c r="K8" s="10" t="inlineStr">
        <is>
          <t>Programme français standardisé à 32% (suffixe *32 sur 8+ codes récents). Ancien programme 20% résiduel (EMILIE20). Code site FIT25=25% + pack offert dès 60€. Pas de cumul code influenceur + FIT25.</t>
        </is>
      </c>
      <c r="L8" s="10" t="inlineStr">
        <is>
          <t>Programme ambassadeur UPGRADÉ à 32% (vs 20% historique). Client averti paye ~68% du catalogue via code CPS32/MARION32. Plus agressif qu'attendu pour une marque française.</t>
        </is>
      </c>
      <c r="M8" s="10" t="inlineStr">
        <is>
          <t>https://www.eafit.com/deals-du-moment.html
https://www.influenceur.promo/marques/ea-fit/
https://www.lesavisdemilie.fr/code-promo-eafit/</t>
        </is>
      </c>
    </row>
    <row r="9" ht="95.15000000000001" customHeight="1" s="24">
      <c r="A9" s="10" t="inlineStr">
        <is>
          <t>DECATHLON</t>
        </is>
      </c>
      <c r="B9" s="10" t="n"/>
      <c r="C9" s="10" t="n"/>
      <c r="D9" s="10" t="n"/>
      <c r="E9" s="10" t="n"/>
      <c r="F9" s="10" t="n"/>
      <c r="G9" s="10" t="n"/>
      <c r="H9" s="10" t="inlineStr">
        <is>
          <t>ponctuel</t>
        </is>
      </c>
      <c r="I9" s="10" t="n"/>
      <c r="J9" s="10" t="n">
        <v>0</v>
      </c>
      <c r="K9" s="10" t="n"/>
      <c r="L9" s="10" t="inlineStr">
        <is>
          <t>Corength / Aptonia sans programme d'affiliation influenceur structuré. Prix catalogue stables, promos seulement lors soldes Decathlon globales.</t>
        </is>
      </c>
      <c r="M9" s="10" t="inlineStr">
        <is>
          <t>https://www.decathlon.fr/nutrition-sante/whey-proteines
https://www.lareduction.fr/s/decathlon.fr</t>
        </is>
      </c>
    </row>
    <row r="10" ht="95.15000000000001" customHeight="1" s="24">
      <c r="A10" s="10" t="inlineStr">
        <is>
          <t>BULK</t>
        </is>
      </c>
      <c r="B10" s="10" t="n">
        <v>15</v>
      </c>
      <c r="C10" s="10" t="n">
        <v>25</v>
      </c>
      <c r="D10" s="10" t="n">
        <v>45</v>
      </c>
      <c r="E10" s="10" t="n">
        <v>45</v>
      </c>
      <c r="F10" s="10" t="n">
        <v>45</v>
      </c>
      <c r="G10" s="10" t="n">
        <v>55</v>
      </c>
      <c r="H10" s="10" t="inlineStr">
        <is>
          <t>quasi-permanent</t>
        </is>
      </c>
      <c r="I10" s="10" t="inlineStr">
        <is>
          <t>BUDDY45 45% (@tristandefeuilletvang)
TWINS 45% (@twinsb_fit)
ARTHUR 45% (@arthurbenedetti)
LIFTIT 45% (@hugophilip)
ALIX 45% (@alixmhd)</t>
        </is>
      </c>
      <c r="J10" s="10" t="n">
        <v>10</v>
      </c>
      <c r="K10" s="10" t="inlineStr">
        <is>
          <t>Distribution quasi monolithique à 45% (codes récents 2024-2026) + reliquat 20-25% (codes anciens). Site affiche 'jusqu'à -75%' en homepage (cumul produit-promo + code). Flash sales 'Bulk Week' -50/-70% ponctuelles. Code influenceur ne stacke pas avec flash sale.</t>
        </is>
      </c>
      <c r="L10" s="10" t="inlineStr">
        <is>
          <t>Programme ULTRA-STANDARDISÉ : 20+ ambassadeurs au même code 45%. Tes 30% initiaux étaient largement sous-estimés — P50 réel = 45%. Site-wide banner '-75%' atteint via cumul. Client averti paye ~55% du catalogue.</t>
        </is>
      </c>
      <c r="M10" s="10" t="inlineStr">
        <is>
          <t>https://www.influenceur.promo/marques/bulk-powders/
https://www.lesavisdemilie.fr/code-promo-bulk/
https://www.savoo.fr/marques/codes-promo-bulk</t>
        </is>
      </c>
    </row>
    <row r="11" ht="95.15000000000001" customHeight="1" s="24">
      <c r="A11" s="10" t="inlineStr">
        <is>
          <t>MYPROTEIN</t>
        </is>
      </c>
      <c r="B11" s="10" t="n">
        <v>40</v>
      </c>
      <c r="C11" s="10" t="n">
        <v>20</v>
      </c>
      <c r="D11" s="10" t="n">
        <v>42</v>
      </c>
      <c r="E11" s="10" t="n">
        <v>50</v>
      </c>
      <c r="F11" s="10" t="n">
        <v>55</v>
      </c>
      <c r="G11" s="10" t="n">
        <v>52</v>
      </c>
      <c r="H11" s="10" t="inlineStr">
        <is>
          <t>quasi-permanent</t>
        </is>
      </c>
      <c r="I11" s="10" t="inlineStr">
        <is>
          <t>MELISSAT 55% (@melissathiebaut)
BUDDY 50% (@tristandefeuilletvang)
PAUL 50% (@pauldenisnavero)
TURBOTIFF 50% (@tiffanychapon)
TDYPARKER 50% (@tdyparker)</t>
        </is>
      </c>
      <c r="J11" s="10" t="n">
        <v>12</v>
      </c>
      <c r="K11" s="10" t="inlineStr">
        <is>
          <t>Site affiche en permanence 'up to 55% off' en bandeau homepage. Codes influenceurs NE se cumulent PAS avec flash sale site — le plus élevé s'applique, typiquement code influenceur 42-50% remplace promo 30-40% base.</t>
        </is>
      </c>
      <c r="L11" s="10" t="inlineStr">
        <is>
          <t>PRIX CATALOGUE TOTALEMENT FICTIF. Promo permanente 30-55% en bandeau site. P50 codes influenceurs = 42%, P90 = 50%, max = 55%. Le client averti applique systématiquement un code 50% → paye ~50% du catalogue. Les 35% initiaux étaient largement sous-estimés (~P25).</t>
        </is>
      </c>
      <c r="M11" s="10" t="inlineStr">
        <is>
          <t>https://www.influenceur.promo/marques/myprotein/
https://kotag.co/marques/codes-promo-myprotein/
https://www.codes-promo-influenceurs.fr/marques/myprotein
https://fr.myprotein.com/c/nouveaux-clients/</t>
        </is>
      </c>
    </row>
    <row r="12" ht="95.15000000000001" customHeight="1" s="24">
      <c r="A12" s="10" t="inlineStr">
        <is>
          <t>PROZIS</t>
        </is>
      </c>
      <c r="B12" s="10" t="n">
        <v>10</v>
      </c>
      <c r="C12" s="10" t="n">
        <v>10</v>
      </c>
      <c r="D12" s="10" t="n">
        <v>10</v>
      </c>
      <c r="E12" s="10" t="n">
        <v>20</v>
      </c>
      <c r="F12" s="10" t="n">
        <v>50</v>
      </c>
      <c r="G12" s="10" t="n">
        <v>65</v>
      </c>
      <c r="H12" s="10" t="inlineStr">
        <is>
          <t>quasi-permanent</t>
        </is>
      </c>
      <c r="I12" s="10" t="inlineStr">
        <is>
          <t>19YEARS 50% (flash sale anniversaire)
MADNESS 40% (flash sale site)
KEONII 10% (@keonii)
LAURAPETARD 10% (@laurapetard)
QFITLIFE 10% (@quentin-fitlife)</t>
        </is>
      </c>
      <c r="J12" s="10" t="n">
        <v>10</v>
      </c>
      <c r="K12" s="10" t="inlineStr">
        <is>
          <t>Codes influenceurs standardisés à 10% — cumul PARTIEL avec promos produit (pack, outlet) mais PAS avec flash sales (MADNESS, 19YEARS, BLACKWEEK à 40-50%). Site en permanence avec produits -30 à -50% en outlet.</t>
        </is>
      </c>
      <c r="L12" s="10" t="inlineStr">
        <is>
          <t>Très modéré côté influenceurs (10% dominant) mais les flash sales saisonnières (MADNESS, 19YEARS) vont jusqu'à 50%. Client averti attend une flash sale pour commander. P50 codes quotidiens = 10%, P90 = 20% (outlet), max = 50% (flash sale).</t>
        </is>
      </c>
      <c r="M12" s="10" t="inlineStr">
        <is>
          <t>https://www.influenceur.promo/marques/prozis/
https://fr.promocodie.com/code/code-promo-prozis-influenceur</t>
        </is>
      </c>
    </row>
    <row r="13" ht="95.15000000000001" customHeight="1" s="24">
      <c r="A13" s="10" t="inlineStr">
        <is>
          <t>FOODSPRING</t>
        </is>
      </c>
      <c r="B13" s="10" t="n">
        <v>10</v>
      </c>
      <c r="C13" s="10" t="n">
        <v>15</v>
      </c>
      <c r="D13" s="10" t="n">
        <v>15</v>
      </c>
      <c r="E13" s="10" t="n">
        <v>20</v>
      </c>
      <c r="F13" s="10" t="n">
        <v>30</v>
      </c>
      <c r="G13" s="10" t="n">
        <v>85</v>
      </c>
      <c r="H13" s="10" t="inlineStr">
        <is>
          <t>quasi-permanent</t>
        </is>
      </c>
      <c r="I13" s="10" t="inlineStr">
        <is>
          <t>FOODSPRING30 30% (site code évènementiel)
FS20SALE 20% (@yamina_niya)
ALIZOUFSG 20% (@alizeeandreani)
JUJUFSG 20% (@juliecfs)
JESSICA15 15% (@jessicathivenin)</t>
        </is>
      </c>
      <c r="J13" s="10" t="n">
        <v>10</v>
      </c>
      <c r="K13" s="10" t="inlineStr">
        <is>
          <t>Programme ultra-standardisé à 15% (60+ codes suffixe *FSG). Remontées ponctuelles à 20% (Black Week, SummerSale). Code site FOODSPRING30 = 30% évènementiel. Pas de cumul entre code influenceur et flash sale.</t>
        </is>
      </c>
      <c r="L13" s="10" t="inlineStr">
        <is>
          <t>Très conservateur (15% dominant, ~85% des codes). Stratégie Foodspring = premium, moins de guerre des prix que MyProtein/Bulk. P50 = 15% fiable, P90 = 20%. Client averti paye ~85% du catalogue.</t>
        </is>
      </c>
      <c r="M13" s="10" t="inlineStr">
        <is>
          <t>https://www.influenceur.promo/marques/foodspring/
https://vivremoinscher.fr/stores/foodspring-coupons/</t>
        </is>
      </c>
    </row>
    <row r="14" ht="95.15000000000001" customHeight="1" s="24">
      <c r="A14" s="10" t="inlineStr">
        <is>
          <t>ESN</t>
        </is>
      </c>
      <c r="B14" s="10" t="n">
        <v>10</v>
      </c>
      <c r="C14" s="10" t="n">
        <v>15</v>
      </c>
      <c r="D14" s="10" t="n">
        <v>20</v>
      </c>
      <c r="E14" s="10" t="n">
        <v>25</v>
      </c>
      <c r="F14" s="10" t="n">
        <v>30</v>
      </c>
      <c r="G14" s="10" t="n">
        <v>80</v>
      </c>
      <c r="H14" s="10" t="inlineStr">
        <is>
          <t>quasi-permanent</t>
        </is>
      </c>
      <c r="I14" s="10" t="inlineStr">
        <is>
          <t>ELENA 20% (@elena.ntns)
KIMMIE 20% (@kimmieous)
LEON 20% (@leonidas_arkona)
LARA 20% (@laraemilia)
KEVIN 20% (@wolterkevin)</t>
        </is>
      </c>
      <c r="J14" s="10" t="n">
        <v>8</v>
      </c>
      <c r="K14" s="10" t="inlineStr">
        <is>
          <t>Programme allemand standardisé à 20%. 'Performance Week' et flash sales site jusqu'à 40-50%, pas de cumul. Discounts site ciblés par catégorie (10% outlet, 20% selected, 50% certains variants).</t>
        </is>
      </c>
      <c r="L14" s="10" t="inlineStr">
        <is>
          <t>Distribution très uniforme à 20% (tous ambassadeurs). Max 25% sur promos saisonales. Moins agressif que MyProtein/Bulk. Client paye ~80% du catalogue.</t>
        </is>
      </c>
      <c r="M14" s="10" t="inlineStr">
        <is>
          <t>https://www.influencercodes.de/marken/esn/
https://suppwiser.de/rabattcodes/esn-rabattcode/
https://fr.coupert.com/codes-promo/esn-com</t>
        </is>
      </c>
    </row>
    <row r="15" ht="95.15000000000001" customHeight="1" s="24">
      <c r="A15" s="10" t="inlineStr">
        <is>
          <t>BIOTECHUSA</t>
        </is>
      </c>
      <c r="B15" s="10" t="n">
        <v>10</v>
      </c>
      <c r="C15" s="10" t="n">
        <v>15</v>
      </c>
      <c r="D15" s="10" t="n">
        <v>15</v>
      </c>
      <c r="E15" s="10" t="n">
        <v>20</v>
      </c>
      <c r="F15" s="10" t="n">
        <v>30</v>
      </c>
      <c r="G15" s="10" t="n">
        <v>82</v>
      </c>
      <c r="H15" s="10" t="inlineStr">
        <is>
          <t>quasi-permanent</t>
        </is>
      </c>
      <c r="I15" s="10" t="inlineStr">
        <is>
          <t>SUPER1225 30% (site code évènementiel)
GYM33 20% (@gym33)
JENZO15 15% (@jeanneetenzo)
ANA15 15% (@anastasiyabury)
REMI15 15% (@remi_ragnar)</t>
        </is>
      </c>
      <c r="J15" s="10" t="n">
        <v>6</v>
      </c>
      <c r="K15" s="10" t="inlineStr">
        <is>
          <t>Programme ambassadeurs à 15% fixe (TRND + partenariats directs). Codes site évènementiels jusqu'à 30-40%. Programme de fidélité cumulable avec code influenceur selon ambassadeur.</t>
        </is>
      </c>
      <c r="L15" s="10" t="inlineStr">
        <is>
          <t>Programme modeste : 15% standard, rarement au-delà de 20%. BiotechUSA = marque hongroise low-cost de base. P50 = 15% très fiable. Client paye ~82% du catalogue.</t>
        </is>
      </c>
      <c r="M15" s="10" t="inlineStr">
        <is>
          <t>https://shop.biotechusa.fr/collections/promotion-mensuelle-automatique
https://shop.biotechusa.fr/pages/loyalty-program
https://kotag.co/marques/codes-promo-biotechusa/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2"/>
  <sheetViews>
    <sheetView workbookViewId="0">
      <pane ySplit="2" topLeftCell="A3" activePane="bottomLeft" state="frozen"/>
      <selection pane="bottomLeft" activeCell="E46" sqref="E46"/>
    </sheetView>
  </sheetViews>
  <sheetFormatPr baseColWidth="10" defaultColWidth="8.7265625" defaultRowHeight="14.5"/>
  <cols>
    <col width="6" customWidth="1" style="24" min="1" max="1"/>
    <col width="14" customWidth="1" style="24" min="2" max="2"/>
    <col width="30" customWidth="1" style="24" min="3" max="3"/>
    <col width="10" customWidth="1" style="24" min="4" max="4"/>
    <col width="13" customWidth="1" style="24" min="5" max="7"/>
    <col width="18" customWidth="1" style="24" min="8" max="9"/>
    <col width="22" customWidth="1" style="24" min="10" max="10"/>
    <col width="18" customWidth="1" style="24" min="11" max="11"/>
    <col width="22" customWidth="1" style="24" min="12" max="12"/>
    <col width="16" customWidth="1" style="24" min="13" max="13"/>
  </cols>
  <sheetData>
    <row r="1" ht="55" customHeight="1" s="24">
      <c r="A1" s="23" t="inlineStr">
        <is>
          <t>Classement par 'Prix client standard / g protéine' croissant (#1 = meilleur rapport qualité/prix pour un client avec un code ambassadeur typique). Les valeurs chiffrées sont des formules live référençant l'onglet 'Synthèse prix'. Seul l'ordre de tri est figé au build. Si tu modifies un prix/remise dans Synthèse ou Discounts, les valeurs ici se mettent à jour. Pour réordonner le classement après une modif majeure, regénère le xlsx.</t>
        </is>
      </c>
    </row>
    <row r="2">
      <c r="A2" s="21" t="inlineStr">
        <is>
          <t>Rang</t>
        </is>
      </c>
      <c r="B2" s="21" t="inlineStr">
        <is>
          <t>Marque</t>
        </is>
      </c>
      <c r="C2" s="21" t="inlineStr">
        <is>
          <t>Produit</t>
        </is>
      </c>
      <c r="D2" s="21" t="inlineStr">
        <is>
          <t>Format</t>
        </is>
      </c>
      <c r="E2" s="21" t="inlineStr">
        <is>
          <t>Prix nominal</t>
        </is>
      </c>
      <c r="F2" s="21" t="inlineStr">
        <is>
          <t>Prix actuel</t>
        </is>
      </c>
      <c r="G2" s="21" t="inlineStr">
        <is>
          <t>Prix marché</t>
        </is>
      </c>
      <c r="H2" s="21" t="inlineStr">
        <is>
          <t>Prix actuel /g prot</t>
        </is>
      </c>
      <c r="I2" s="21" t="inlineStr">
        <is>
          <t>Prix client standard</t>
        </is>
      </c>
      <c r="J2" s="21" t="inlineStr">
        <is>
          <t>Prix client standard /g prot</t>
        </is>
      </c>
      <c r="K2" s="21" t="inlineStr">
        <is>
          <t>Prix client averti</t>
        </is>
      </c>
      <c r="L2" s="21" t="inlineStr">
        <is>
          <t>Prix client averti /g prot</t>
        </is>
      </c>
      <c r="M2" s="21" t="inlineStr">
        <is>
          <t>Remise standard (%)</t>
        </is>
      </c>
    </row>
    <row r="3">
      <c r="A3" t="n">
        <v>1</v>
      </c>
      <c r="B3">
        <f>'Synthèse prix'!A44</f>
        <v/>
      </c>
      <c r="C3" t="inlineStr">
        <is>
          <t>Impact Whey Protein 2,5kg</t>
        </is>
      </c>
      <c r="D3" t="inlineStr">
        <is>
          <t>2.5kg</t>
        </is>
      </c>
      <c r="E3" s="12">
        <f>'Synthèse prix'!H44</f>
        <v/>
      </c>
      <c r="F3" s="12">
        <f>'Synthèse prix'!I44</f>
        <v/>
      </c>
      <c r="G3" s="12">
        <f>'Synthèse prix'!J44</f>
        <v/>
      </c>
      <c r="H3" s="12">
        <f>'Synthèse prix'!N44</f>
        <v/>
      </c>
      <c r="I3" s="12">
        <f>'Synthèse prix'!S44</f>
        <v/>
      </c>
      <c r="J3" s="12">
        <f>'Synthèse prix'!T44</f>
        <v/>
      </c>
      <c r="K3" s="12">
        <f>'Synthèse prix'!U44</f>
        <v/>
      </c>
      <c r="L3" s="12">
        <f>'Synthèse prix'!V44</f>
        <v/>
      </c>
      <c r="M3" s="12">
        <f>'Synthèse prix'!Q44</f>
        <v/>
      </c>
    </row>
    <row r="4">
      <c r="A4" t="n">
        <v>2</v>
      </c>
      <c r="B4">
        <f>'Synthèse prix'!A43</f>
        <v/>
      </c>
      <c r="C4" t="inlineStr">
        <is>
          <t>Impact Whey Protein 1kg</t>
        </is>
      </c>
      <c r="D4" t="inlineStr">
        <is>
          <t>1kg</t>
        </is>
      </c>
      <c r="E4" s="12">
        <f>'Synthèse prix'!H43</f>
        <v/>
      </c>
      <c r="F4" s="12">
        <f>'Synthèse prix'!I43</f>
        <v/>
      </c>
      <c r="G4" s="12">
        <f>'Synthèse prix'!J43</f>
        <v/>
      </c>
      <c r="H4" s="12">
        <f>'Synthèse prix'!N43</f>
        <v/>
      </c>
      <c r="I4" s="12">
        <f>'Synthèse prix'!S43</f>
        <v/>
      </c>
      <c r="J4" s="12">
        <f>'Synthèse prix'!T43</f>
        <v/>
      </c>
      <c r="K4" s="12">
        <f>'Synthèse prix'!U43</f>
        <v/>
      </c>
      <c r="L4" s="12">
        <f>'Synthèse prix'!V43</f>
        <v/>
      </c>
      <c r="M4" s="12">
        <f>'Synthèse prix'!Q43</f>
        <v/>
      </c>
    </row>
    <row r="5">
      <c r="A5" t="n">
        <v>3</v>
      </c>
      <c r="B5">
        <f>'Synthèse prix'!A45</f>
        <v/>
      </c>
      <c r="C5" t="inlineStr">
        <is>
          <t>Impact Whey Protein 5kg (Sans arôme)</t>
        </is>
      </c>
      <c r="D5" t="inlineStr">
        <is>
          <t>5kg</t>
        </is>
      </c>
      <c r="E5" s="12">
        <f>'Synthèse prix'!H45</f>
        <v/>
      </c>
      <c r="F5" s="12">
        <f>'Synthèse prix'!I45</f>
        <v/>
      </c>
      <c r="G5" s="12">
        <f>'Synthèse prix'!J45</f>
        <v/>
      </c>
      <c r="H5" s="12">
        <f>'Synthèse prix'!N45</f>
        <v/>
      </c>
      <c r="I5" s="12">
        <f>'Synthèse prix'!S45</f>
        <v/>
      </c>
      <c r="J5" s="12">
        <f>'Synthèse prix'!T45</f>
        <v/>
      </c>
      <c r="K5" s="12">
        <f>'Synthèse prix'!U45</f>
        <v/>
      </c>
      <c r="L5" s="12">
        <f>'Synthèse prix'!V45</f>
        <v/>
      </c>
      <c r="M5" s="12">
        <f>'Synthèse prix'!Q45</f>
        <v/>
      </c>
    </row>
    <row r="6">
      <c r="A6" t="n">
        <v>4</v>
      </c>
      <c r="B6">
        <f>'Synthèse prix'!A38</f>
        <v/>
      </c>
      <c r="C6" t="inlineStr">
        <is>
          <t>Pure Whey Protein 2,5kg</t>
        </is>
      </c>
      <c r="D6" t="inlineStr">
        <is>
          <t>2.5kg</t>
        </is>
      </c>
      <c r="E6" s="12">
        <f>'Synthèse prix'!H38</f>
        <v/>
      </c>
      <c r="F6" s="12">
        <f>'Synthèse prix'!I38</f>
        <v/>
      </c>
      <c r="G6" s="12">
        <f>'Synthèse prix'!J38</f>
        <v/>
      </c>
      <c r="H6" s="12">
        <f>'Synthèse prix'!N38</f>
        <v/>
      </c>
      <c r="I6" s="12">
        <f>'Synthèse prix'!S38</f>
        <v/>
      </c>
      <c r="J6" s="12">
        <f>'Synthèse prix'!T38</f>
        <v/>
      </c>
      <c r="K6" s="12">
        <f>'Synthèse prix'!U38</f>
        <v/>
      </c>
      <c r="L6" s="12">
        <f>'Synthèse prix'!V38</f>
        <v/>
      </c>
      <c r="M6" s="12">
        <f>'Synthèse prix'!Q38</f>
        <v/>
      </c>
    </row>
    <row r="7">
      <c r="A7" t="n">
        <v>5</v>
      </c>
      <c r="B7">
        <f>'Synthèse prix'!A39</f>
        <v/>
      </c>
      <c r="C7" t="inlineStr">
        <is>
          <t>Pure Whey Protein 5kg</t>
        </is>
      </c>
      <c r="D7" t="inlineStr">
        <is>
          <t>5kg</t>
        </is>
      </c>
      <c r="E7" s="12">
        <f>'Synthèse prix'!H39</f>
        <v/>
      </c>
      <c r="F7" s="12">
        <f>'Synthèse prix'!I39</f>
        <v/>
      </c>
      <c r="G7" s="12">
        <f>'Synthèse prix'!J39</f>
        <v/>
      </c>
      <c r="H7" s="12">
        <f>'Synthèse prix'!N39</f>
        <v/>
      </c>
      <c r="I7" s="12">
        <f>'Synthèse prix'!S39</f>
        <v/>
      </c>
      <c r="J7" s="12">
        <f>'Synthèse prix'!T39</f>
        <v/>
      </c>
      <c r="K7" s="12">
        <f>'Synthèse prix'!U39</f>
        <v/>
      </c>
      <c r="L7" s="12">
        <f>'Synthèse prix'!V39</f>
        <v/>
      </c>
      <c r="M7" s="12">
        <f>'Synthèse prix'!Q39</f>
        <v/>
      </c>
    </row>
    <row r="8">
      <c r="A8" t="n">
        <v>6</v>
      </c>
      <c r="B8">
        <f>'Synthèse prix'!A37</f>
        <v/>
      </c>
      <c r="C8" t="inlineStr">
        <is>
          <t>Pure Whey Protein 1kg</t>
        </is>
      </c>
      <c r="D8" t="inlineStr">
        <is>
          <t>1kg</t>
        </is>
      </c>
      <c r="E8" s="12">
        <f>'Synthèse prix'!H37</f>
        <v/>
      </c>
      <c r="F8" s="12">
        <f>'Synthèse prix'!I37</f>
        <v/>
      </c>
      <c r="G8" s="12">
        <f>'Synthèse prix'!J37</f>
        <v/>
      </c>
      <c r="H8" s="12">
        <f>'Synthèse prix'!N37</f>
        <v/>
      </c>
      <c r="I8" s="12">
        <f>'Synthèse prix'!S37</f>
        <v/>
      </c>
      <c r="J8" s="12">
        <f>'Synthèse prix'!T37</f>
        <v/>
      </c>
      <c r="K8" s="12">
        <f>'Synthèse prix'!U37</f>
        <v/>
      </c>
      <c r="L8" s="12">
        <f>'Synthèse prix'!V37</f>
        <v/>
      </c>
      <c r="M8" s="12">
        <f>'Synthèse prix'!Q37</f>
        <v/>
      </c>
    </row>
    <row r="9">
      <c r="A9" t="n">
        <v>7</v>
      </c>
      <c r="B9">
        <f>'Synthèse prix'!A36</f>
        <v/>
      </c>
      <c r="C9" t="inlineStr">
        <is>
          <t>Pure Whey Isolate 2,5kg</t>
        </is>
      </c>
      <c r="D9" t="inlineStr">
        <is>
          <t>2.5kg</t>
        </is>
      </c>
      <c r="E9" s="12">
        <f>'Synthèse prix'!H36</f>
        <v/>
      </c>
      <c r="F9" s="12">
        <f>'Synthèse prix'!I36</f>
        <v/>
      </c>
      <c r="G9" s="12">
        <f>'Synthèse prix'!J36</f>
        <v/>
      </c>
      <c r="H9" s="12">
        <f>'Synthèse prix'!N36</f>
        <v/>
      </c>
      <c r="I9" s="12">
        <f>'Synthèse prix'!S36</f>
        <v/>
      </c>
      <c r="J9" s="12">
        <f>'Synthèse prix'!T36</f>
        <v/>
      </c>
      <c r="K9" s="12">
        <f>'Synthèse prix'!U36</f>
        <v/>
      </c>
      <c r="L9" s="12">
        <f>'Synthèse prix'!V36</f>
        <v/>
      </c>
      <c r="M9" s="12">
        <f>'Synthèse prix'!Q36</f>
        <v/>
      </c>
    </row>
    <row r="10">
      <c r="A10" t="n">
        <v>9</v>
      </c>
      <c r="B10">
        <f>'Synthèse prix'!A35</f>
        <v/>
      </c>
      <c r="C10" t="inlineStr">
        <is>
          <t>Pure Whey Isolate 1kg</t>
        </is>
      </c>
      <c r="D10" t="inlineStr">
        <is>
          <t>1kg</t>
        </is>
      </c>
      <c r="E10" s="12">
        <f>'Synthèse prix'!H35</f>
        <v/>
      </c>
      <c r="F10" s="12">
        <f>'Synthèse prix'!I35</f>
        <v/>
      </c>
      <c r="G10" s="12">
        <f>'Synthèse prix'!J35</f>
        <v/>
      </c>
      <c r="H10" s="12">
        <f>'Synthèse prix'!N35</f>
        <v/>
      </c>
      <c r="I10" s="12">
        <f>'Synthèse prix'!S35</f>
        <v/>
      </c>
      <c r="J10" s="12">
        <f>'Synthèse prix'!T35</f>
        <v/>
      </c>
      <c r="K10" s="12">
        <f>'Synthèse prix'!U35</f>
        <v/>
      </c>
      <c r="L10" s="12">
        <f>'Synthèse prix'!V35</f>
        <v/>
      </c>
      <c r="M10" s="12">
        <f>'Synthèse prix'!Q35</f>
        <v/>
      </c>
    </row>
    <row r="11">
      <c r="A11" t="n">
        <v>10</v>
      </c>
      <c r="B11">
        <f>'Synthèse prix'!A42</f>
        <v/>
      </c>
      <c r="C11" t="inlineStr">
        <is>
          <t>Impact Whey Isolate 2,5kg</t>
        </is>
      </c>
      <c r="D11" t="inlineStr">
        <is>
          <t>2.5kg</t>
        </is>
      </c>
      <c r="E11" s="12">
        <f>'Synthèse prix'!H42</f>
        <v/>
      </c>
      <c r="F11" s="12">
        <f>'Synthèse prix'!I42</f>
        <v/>
      </c>
      <c r="G11" s="12">
        <f>'Synthèse prix'!J42</f>
        <v/>
      </c>
      <c r="H11" s="12">
        <f>'Synthèse prix'!N42</f>
        <v/>
      </c>
      <c r="I11" s="12">
        <f>'Synthèse prix'!S42</f>
        <v/>
      </c>
      <c r="J11" s="12">
        <f>'Synthèse prix'!T42</f>
        <v/>
      </c>
      <c r="K11" s="12">
        <f>'Synthèse prix'!U42</f>
        <v/>
      </c>
      <c r="L11" s="12">
        <f>'Synthèse prix'!V42</f>
        <v/>
      </c>
      <c r="M11" s="12">
        <f>'Synthèse prix'!Q42</f>
        <v/>
      </c>
    </row>
    <row r="12">
      <c r="A12" t="n">
        <v>12</v>
      </c>
      <c r="B12">
        <f>'Synthèse prix'!A34</f>
        <v/>
      </c>
      <c r="C12" t="inlineStr">
        <is>
          <t>Pure Whey Protein 2.2kg</t>
        </is>
      </c>
      <c r="D12" t="inlineStr">
        <is>
          <t>2.2kg</t>
        </is>
      </c>
      <c r="E12" s="12">
        <f>'Synthèse prix'!H34</f>
        <v/>
      </c>
      <c r="F12" s="12">
        <f>'Synthèse prix'!I34</f>
        <v/>
      </c>
      <c r="G12" s="12">
        <f>'Synthèse prix'!J34</f>
        <v/>
      </c>
      <c r="H12" s="12">
        <f>'Synthèse prix'!N34</f>
        <v/>
      </c>
      <c r="I12" s="12">
        <f>'Synthèse prix'!S34</f>
        <v/>
      </c>
      <c r="J12" s="12">
        <f>'Synthèse prix'!T34</f>
        <v/>
      </c>
      <c r="K12" s="12">
        <f>'Synthèse prix'!U34</f>
        <v/>
      </c>
      <c r="L12" s="12">
        <f>'Synthèse prix'!V34</f>
        <v/>
      </c>
      <c r="M12" s="12">
        <f>'Synthèse prix'!Q34</f>
        <v/>
      </c>
    </row>
    <row r="13">
      <c r="A13" t="n">
        <v>13</v>
      </c>
      <c r="B13">
        <f>'Synthèse prix'!A41</f>
        <v/>
      </c>
      <c r="C13" t="inlineStr">
        <is>
          <t>Impact Whey Isolate 1kg</t>
        </is>
      </c>
      <c r="D13" t="inlineStr">
        <is>
          <t>1kg</t>
        </is>
      </c>
      <c r="E13" s="12">
        <f>'Synthèse prix'!H41</f>
        <v/>
      </c>
      <c r="F13" s="12">
        <f>'Synthèse prix'!I41</f>
        <v/>
      </c>
      <c r="G13" s="12">
        <f>'Synthèse prix'!J41</f>
        <v/>
      </c>
      <c r="H13" s="12">
        <f>'Synthèse prix'!N41</f>
        <v/>
      </c>
      <c r="I13" s="12">
        <f>'Synthèse prix'!S41</f>
        <v/>
      </c>
      <c r="J13" s="12">
        <f>'Synthèse prix'!T41</f>
        <v/>
      </c>
      <c r="K13" s="12">
        <f>'Synthèse prix'!U41</f>
        <v/>
      </c>
      <c r="L13" s="12">
        <f>'Synthèse prix'!V41</f>
        <v/>
      </c>
      <c r="M13" s="12">
        <f>'Synthèse prix'!Q41</f>
        <v/>
      </c>
    </row>
    <row r="14">
      <c r="A14" t="n">
        <v>14</v>
      </c>
      <c r="B14">
        <f>'Synthèse prix'!A28</f>
        <v/>
      </c>
      <c r="C14" t="inlineStr">
        <is>
          <t>Iso Fusion Protein Complex 2kg</t>
        </is>
      </c>
      <c r="D14" t="inlineStr">
        <is>
          <t>2kg</t>
        </is>
      </c>
      <c r="E14" s="12">
        <f>'Synthèse prix'!H28</f>
        <v/>
      </c>
      <c r="F14" s="12">
        <f>'Synthèse prix'!I28</f>
        <v/>
      </c>
      <c r="G14" s="12">
        <f>'Synthèse prix'!J28</f>
        <v/>
      </c>
      <c r="H14" s="12">
        <f>'Synthèse prix'!N28</f>
        <v/>
      </c>
      <c r="I14" s="12">
        <f>'Synthèse prix'!S28</f>
        <v/>
      </c>
      <c r="J14" s="12">
        <f>'Synthèse prix'!T28</f>
        <v/>
      </c>
      <c r="K14" s="12">
        <f>'Synthèse prix'!U28</f>
        <v/>
      </c>
      <c r="L14" s="12">
        <f>'Synthèse prix'!V28</f>
        <v/>
      </c>
      <c r="M14" s="12">
        <f>'Synthèse prix'!Q28</f>
        <v/>
      </c>
    </row>
    <row r="15">
      <c r="A15" t="n">
        <v>15</v>
      </c>
      <c r="B15">
        <f>'Synthèse prix'!A17</f>
        <v/>
      </c>
      <c r="C15" t="inlineStr">
        <is>
          <t>Whey Native Concentrat 4kg</t>
        </is>
      </c>
      <c r="D15" t="inlineStr">
        <is>
          <t>4kg</t>
        </is>
      </c>
      <c r="E15" s="12">
        <f>'Synthèse prix'!H17</f>
        <v/>
      </c>
      <c r="F15" s="12">
        <f>'Synthèse prix'!I17</f>
        <v/>
      </c>
      <c r="G15" s="12">
        <f>'Synthèse prix'!J17</f>
        <v/>
      </c>
      <c r="H15" s="12">
        <f>'Synthèse prix'!N17</f>
        <v/>
      </c>
      <c r="I15" s="12">
        <f>'Synthèse prix'!S17</f>
        <v/>
      </c>
      <c r="J15" s="12">
        <f>'Synthèse prix'!T17</f>
        <v/>
      </c>
      <c r="K15" s="12">
        <f>'Synthèse prix'!U17</f>
        <v/>
      </c>
      <c r="L15" s="12">
        <f>'Synthèse prix'!V17</f>
        <v/>
      </c>
      <c r="M15" s="12">
        <f>'Synthèse prix'!Q17</f>
        <v/>
      </c>
    </row>
    <row r="16">
      <c r="A16" t="n">
        <v>16</v>
      </c>
      <c r="B16">
        <f>'Synthèse prix'!A31</f>
        <v/>
      </c>
      <c r="C16" t="inlineStr">
        <is>
          <t>Pure Whey Protein 750g</t>
        </is>
      </c>
      <c r="D16" t="inlineStr">
        <is>
          <t>750g</t>
        </is>
      </c>
      <c r="E16" s="12">
        <f>'Synthèse prix'!H31</f>
        <v/>
      </c>
      <c r="F16" s="12">
        <f>'Synthèse prix'!I31</f>
        <v/>
      </c>
      <c r="G16" s="12">
        <f>'Synthèse prix'!J31</f>
        <v/>
      </c>
      <c r="H16" s="12">
        <f>'Synthèse prix'!N31</f>
        <v/>
      </c>
      <c r="I16" s="12">
        <f>'Synthèse prix'!S31</f>
        <v/>
      </c>
      <c r="J16" s="12">
        <f>'Synthèse prix'!T31</f>
        <v/>
      </c>
      <c r="K16" s="12">
        <f>'Synthèse prix'!U31</f>
        <v/>
      </c>
      <c r="L16" s="12">
        <f>'Synthèse prix'!V31</f>
        <v/>
      </c>
      <c r="M16" s="12">
        <f>'Synthèse prix'!Q31</f>
        <v/>
      </c>
    </row>
    <row r="17">
      <c r="A17" t="n">
        <v>18</v>
      </c>
      <c r="B17">
        <f>'Synthèse prix'!A16</f>
        <v/>
      </c>
      <c r="C17" t="inlineStr">
        <is>
          <t>Whey Native Concentrat 2,25kg</t>
        </is>
      </c>
      <c r="D17" t="inlineStr">
        <is>
          <t>2.25kg</t>
        </is>
      </c>
      <c r="E17" s="12">
        <f>'Synthèse prix'!H16</f>
        <v/>
      </c>
      <c r="F17" s="12">
        <f>'Synthèse prix'!I16</f>
        <v/>
      </c>
      <c r="G17" s="12">
        <f>'Synthèse prix'!J16</f>
        <v/>
      </c>
      <c r="H17" s="12">
        <f>'Synthèse prix'!N16</f>
        <v/>
      </c>
      <c r="I17" s="12">
        <f>'Synthèse prix'!S16</f>
        <v/>
      </c>
      <c r="J17" s="12">
        <f>'Synthèse prix'!T16</f>
        <v/>
      </c>
      <c r="K17" s="12">
        <f>'Synthèse prix'!U16</f>
        <v/>
      </c>
      <c r="L17" s="12">
        <f>'Synthèse prix'!V16</f>
        <v/>
      </c>
      <c r="M17" s="12">
        <f>'Synthèse prix'!Q16</f>
        <v/>
      </c>
    </row>
    <row r="18">
      <c r="A18" t="n">
        <v>19</v>
      </c>
      <c r="B18">
        <f>'Synthèse prix'!A33</f>
        <v/>
      </c>
      <c r="C18" t="inlineStr">
        <is>
          <t>Pure Whey Protein 850g</t>
        </is>
      </c>
      <c r="D18" t="inlineStr">
        <is>
          <t>850g</t>
        </is>
      </c>
      <c r="E18" s="12">
        <f>'Synthèse prix'!H33</f>
        <v/>
      </c>
      <c r="F18" s="12">
        <f>'Synthèse prix'!I33</f>
        <v/>
      </c>
      <c r="G18" s="12">
        <f>'Synthèse prix'!J33</f>
        <v/>
      </c>
      <c r="H18" s="12">
        <f>'Synthèse prix'!N33</f>
        <v/>
      </c>
      <c r="I18" s="12">
        <f>'Synthèse prix'!S33</f>
        <v/>
      </c>
      <c r="J18" s="12">
        <f>'Synthèse prix'!T33</f>
        <v/>
      </c>
      <c r="K18" s="12">
        <f>'Synthèse prix'!U33</f>
        <v/>
      </c>
      <c r="L18" s="12">
        <f>'Synthèse prix'!V33</f>
        <v/>
      </c>
      <c r="M18" s="12">
        <f>'Synthèse prix'!Q33</f>
        <v/>
      </c>
    </row>
    <row r="19">
      <c r="A19" t="n">
        <v>20</v>
      </c>
      <c r="B19">
        <f>'Synthèse prix'!A46</f>
        <v/>
      </c>
      <c r="C19" t="inlineStr">
        <is>
          <t>Clear Whey Isolate 875g</t>
        </is>
      </c>
      <c r="D19" t="inlineStr">
        <is>
          <t>875g</t>
        </is>
      </c>
      <c r="E19" s="12">
        <f>'Synthèse prix'!H46</f>
        <v/>
      </c>
      <c r="F19" s="12">
        <f>'Synthèse prix'!I46</f>
        <v/>
      </c>
      <c r="G19" s="12">
        <f>'Synthèse prix'!J46</f>
        <v/>
      </c>
      <c r="H19" s="12">
        <f>'Synthèse prix'!N46</f>
        <v/>
      </c>
      <c r="I19" s="12">
        <f>'Synthèse prix'!S46</f>
        <v/>
      </c>
      <c r="J19" s="12">
        <f>'Synthèse prix'!T46</f>
        <v/>
      </c>
      <c r="K19" s="12">
        <f>'Synthèse prix'!U46</f>
        <v/>
      </c>
      <c r="L19" s="12">
        <f>'Synthèse prix'!V46</f>
        <v/>
      </c>
      <c r="M19" s="12">
        <f>'Synthèse prix'!Q46</f>
        <v/>
      </c>
    </row>
    <row r="20">
      <c r="A20" t="n">
        <v>22</v>
      </c>
      <c r="B20">
        <f>'Synthèse prix'!A15</f>
        <v/>
      </c>
      <c r="C20" t="inlineStr">
        <is>
          <t>Whey Native Concentrat</t>
        </is>
      </c>
      <c r="D20" t="inlineStr">
        <is>
          <t>1kg</t>
        </is>
      </c>
      <c r="E20" s="12">
        <f>'Synthèse prix'!H15</f>
        <v/>
      </c>
      <c r="F20" s="12">
        <f>'Synthèse prix'!I15</f>
        <v/>
      </c>
      <c r="G20" s="12">
        <f>'Synthèse prix'!J15</f>
        <v/>
      </c>
      <c r="H20" s="12">
        <f>'Synthèse prix'!N15</f>
        <v/>
      </c>
      <c r="I20" s="12">
        <f>'Synthèse prix'!S15</f>
        <v/>
      </c>
      <c r="J20" s="12">
        <f>'Synthèse prix'!T15</f>
        <v/>
      </c>
      <c r="K20" s="12">
        <f>'Synthèse prix'!U15</f>
        <v/>
      </c>
      <c r="L20" s="12">
        <f>'Synthèse prix'!V15</f>
        <v/>
      </c>
      <c r="M20" s="12">
        <f>'Synthèse prix'!Q15</f>
        <v/>
      </c>
    </row>
    <row r="21">
      <c r="A21" t="n">
        <v>23</v>
      </c>
      <c r="B21">
        <f>'Synthèse prix'!A40</f>
        <v/>
      </c>
      <c r="C21" t="inlineStr">
        <is>
          <t>Clear Whey Isolate 500g</t>
        </is>
      </c>
      <c r="D21" t="inlineStr">
        <is>
          <t>500g</t>
        </is>
      </c>
      <c r="E21" s="12">
        <f>'Synthèse prix'!H40</f>
        <v/>
      </c>
      <c r="F21" s="12">
        <f>'Synthèse prix'!I40</f>
        <v/>
      </c>
      <c r="G21" s="12">
        <f>'Synthèse prix'!J40</f>
        <v/>
      </c>
      <c r="H21" s="12">
        <f>'Synthèse prix'!N40</f>
        <v/>
      </c>
      <c r="I21" s="12">
        <f>'Synthèse prix'!S40</f>
        <v/>
      </c>
      <c r="J21" s="12">
        <f>'Synthèse prix'!T40</f>
        <v/>
      </c>
      <c r="K21" s="12">
        <f>'Synthèse prix'!U40</f>
        <v/>
      </c>
      <c r="L21" s="12">
        <f>'Synthèse prix'!V40</f>
        <v/>
      </c>
      <c r="M21" s="12">
        <f>'Synthèse prix'!Q40</f>
        <v/>
      </c>
    </row>
    <row r="22">
      <c r="A22" t="n">
        <v>26</v>
      </c>
      <c r="B22">
        <f>'Synthèse prix'!A14</f>
        <v/>
      </c>
      <c r="C22" t="inlineStr">
        <is>
          <t>Whey Native Concentrat 500g</t>
        </is>
      </c>
      <c r="D22" t="inlineStr">
        <is>
          <t>500g</t>
        </is>
      </c>
      <c r="E22" s="12">
        <f>'Synthèse prix'!H14</f>
        <v/>
      </c>
      <c r="F22" s="12">
        <f>'Synthèse prix'!I14</f>
        <v/>
      </c>
      <c r="G22" s="12">
        <f>'Synthèse prix'!J14</f>
        <v/>
      </c>
      <c r="H22" s="12">
        <f>'Synthèse prix'!N14</f>
        <v/>
      </c>
      <c r="I22" s="12">
        <f>'Synthèse prix'!S14</f>
        <v/>
      </c>
      <c r="J22" s="12">
        <f>'Synthèse prix'!T14</f>
        <v/>
      </c>
      <c r="K22" s="12">
        <f>'Synthèse prix'!U14</f>
        <v/>
      </c>
      <c r="L22" s="12">
        <f>'Synthèse prix'!V14</f>
        <v/>
      </c>
      <c r="M22" s="12">
        <f>'Synthèse prix'!Q14</f>
        <v/>
      </c>
    </row>
    <row r="23">
      <c r="A23" t="n">
        <v>28</v>
      </c>
      <c r="B23">
        <f>'Synthèse prix'!A25</f>
        <v/>
      </c>
      <c r="C23" t="inlineStr">
        <is>
          <t>Whey Optimax Protein 1,5kg</t>
        </is>
      </c>
      <c r="D23" t="inlineStr">
        <is>
          <t>1.5kg</t>
        </is>
      </c>
      <c r="E23" s="12">
        <f>'Synthèse prix'!H25</f>
        <v/>
      </c>
      <c r="F23" s="12">
        <f>'Synthèse prix'!I25</f>
        <v/>
      </c>
      <c r="G23" s="12">
        <f>'Synthèse prix'!J25</f>
        <v/>
      </c>
      <c r="H23" s="12">
        <f>'Synthèse prix'!N25</f>
        <v/>
      </c>
      <c r="I23" s="12">
        <f>'Synthèse prix'!S25</f>
        <v/>
      </c>
      <c r="J23" s="12">
        <f>'Synthèse prix'!T25</f>
        <v/>
      </c>
      <c r="K23" s="12">
        <f>'Synthèse prix'!U25</f>
        <v/>
      </c>
      <c r="L23" s="12">
        <f>'Synthèse prix'!V25</f>
        <v/>
      </c>
      <c r="M23" s="12">
        <f>'Synthèse prix'!Q25</f>
        <v/>
      </c>
    </row>
    <row r="24">
      <c r="A24" t="n">
        <v>30</v>
      </c>
      <c r="B24">
        <f>'Synthèse prix'!A29</f>
        <v/>
      </c>
      <c r="C24" t="inlineStr">
        <is>
          <t>Pure Isolate 750g</t>
        </is>
      </c>
      <c r="D24" t="inlineStr">
        <is>
          <t>750g</t>
        </is>
      </c>
      <c r="E24" s="12">
        <f>'Synthèse prix'!H29</f>
        <v/>
      </c>
      <c r="F24" s="12">
        <f>'Synthèse prix'!I29</f>
        <v/>
      </c>
      <c r="G24" s="12">
        <f>'Synthèse prix'!J29</f>
        <v/>
      </c>
      <c r="H24" s="12">
        <f>'Synthèse prix'!N29</f>
        <v/>
      </c>
      <c r="I24" s="12">
        <f>'Synthèse prix'!S29</f>
        <v/>
      </c>
      <c r="J24" s="12">
        <f>'Synthèse prix'!T29</f>
        <v/>
      </c>
      <c r="K24" s="12">
        <f>'Synthèse prix'!U29</f>
        <v/>
      </c>
      <c r="L24" s="12">
        <f>'Synthèse prix'!V29</f>
        <v/>
      </c>
      <c r="M24" s="12">
        <f>'Synthèse prix'!Q29</f>
        <v/>
      </c>
    </row>
    <row r="25">
      <c r="A25" t="n">
        <v>31</v>
      </c>
      <c r="B25">
        <f>'Synthèse prix'!A26</f>
        <v/>
      </c>
      <c r="C25" t="inlineStr">
        <is>
          <t>Whey Zero Protéine 2kg</t>
        </is>
      </c>
      <c r="D25" t="inlineStr">
        <is>
          <t>2kg</t>
        </is>
      </c>
      <c r="E25" s="12">
        <f>'Synthèse prix'!H26</f>
        <v/>
      </c>
      <c r="F25" s="12">
        <f>'Synthèse prix'!I26</f>
        <v/>
      </c>
      <c r="G25" s="12">
        <f>'Synthèse prix'!J26</f>
        <v/>
      </c>
      <c r="H25" s="12">
        <f>'Synthèse prix'!N26</f>
        <v/>
      </c>
      <c r="I25" s="12">
        <f>'Synthèse prix'!S26</f>
        <v/>
      </c>
      <c r="J25" s="12">
        <f>'Synthèse prix'!T26</f>
        <v/>
      </c>
      <c r="K25" s="12">
        <f>'Synthèse prix'!U26</f>
        <v/>
      </c>
      <c r="L25" s="12">
        <f>'Synthèse prix'!V26</f>
        <v/>
      </c>
      <c r="M25" s="12">
        <f>'Synthèse prix'!Q26</f>
        <v/>
      </c>
    </row>
    <row r="26">
      <c r="A26" s="20" t="n">
        <v>32</v>
      </c>
      <c r="B26" s="20">
        <f>'Synthèse prix'!A4</f>
        <v/>
      </c>
      <c r="C26" s="20" t="inlineStr">
        <is>
          <t>Whey Isolate</t>
        </is>
      </c>
      <c r="D26" s="20" t="inlineStr">
        <is>
          <t>750g</t>
        </is>
      </c>
      <c r="E26" s="20">
        <f>'Synthèse prix'!H4</f>
        <v/>
      </c>
      <c r="F26" s="20">
        <f>'Synthèse prix'!I4</f>
        <v/>
      </c>
      <c r="G26" s="20">
        <f>'Synthèse prix'!J4</f>
        <v/>
      </c>
      <c r="H26" s="20">
        <f>'Synthèse prix'!N4</f>
        <v/>
      </c>
      <c r="I26" s="20">
        <f>'Synthèse prix'!S4</f>
        <v/>
      </c>
      <c r="J26" s="20">
        <f>'Synthèse prix'!T4</f>
        <v/>
      </c>
      <c r="K26" s="20">
        <f>'Synthèse prix'!U4</f>
        <v/>
      </c>
      <c r="L26" s="20">
        <f>'Synthèse prix'!V4</f>
        <v/>
      </c>
      <c r="M26" s="20">
        <f>'Synthèse prix'!Q4</f>
        <v/>
      </c>
    </row>
    <row r="27">
      <c r="A27" t="n">
        <v>34</v>
      </c>
      <c r="B27">
        <f>'Synthèse prix'!A32</f>
        <v/>
      </c>
      <c r="C27" t="inlineStr">
        <is>
          <t>Mega Whey Creatine Complex 750g</t>
        </is>
      </c>
      <c r="D27" t="inlineStr">
        <is>
          <t>750g</t>
        </is>
      </c>
      <c r="E27" s="12">
        <f>'Synthèse prix'!H32</f>
        <v/>
      </c>
      <c r="F27" s="12">
        <f>'Synthèse prix'!I32</f>
        <v/>
      </c>
      <c r="G27" s="12">
        <f>'Synthèse prix'!J32</f>
        <v/>
      </c>
      <c r="H27" s="12">
        <f>'Synthèse prix'!N32</f>
        <v/>
      </c>
      <c r="I27" s="12">
        <f>'Synthèse prix'!S32</f>
        <v/>
      </c>
      <c r="J27" s="12">
        <f>'Synthèse prix'!T32</f>
        <v/>
      </c>
      <c r="K27" s="12">
        <f>'Synthèse prix'!U32</f>
        <v/>
      </c>
      <c r="L27" s="12">
        <f>'Synthèse prix'!V32</f>
        <v/>
      </c>
      <c r="M27" s="12">
        <f>'Synthèse prix'!Q32</f>
        <v/>
      </c>
    </row>
    <row r="28">
      <c r="A28" t="n">
        <v>35</v>
      </c>
      <c r="B28">
        <f>'Synthèse prix'!A13</f>
        <v/>
      </c>
      <c r="C28" t="inlineStr">
        <is>
          <t>Whey Native Isolate 4kg</t>
        </is>
      </c>
      <c r="D28" t="inlineStr">
        <is>
          <t>4kg</t>
        </is>
      </c>
      <c r="E28" s="12">
        <f>'Synthèse prix'!H13</f>
        <v/>
      </c>
      <c r="F28" s="12">
        <f>'Synthèse prix'!I13</f>
        <v/>
      </c>
      <c r="G28" s="12">
        <f>'Synthèse prix'!J13</f>
        <v/>
      </c>
      <c r="H28" s="12">
        <f>'Synthèse prix'!N13</f>
        <v/>
      </c>
      <c r="I28" s="12">
        <f>'Synthèse prix'!S13</f>
        <v/>
      </c>
      <c r="J28" s="12">
        <f>'Synthèse prix'!T13</f>
        <v/>
      </c>
      <c r="K28" s="12">
        <f>'Synthèse prix'!U13</f>
        <v/>
      </c>
      <c r="L28" s="12">
        <f>'Synthèse prix'!V13</f>
        <v/>
      </c>
      <c r="M28" s="12">
        <f>'Synthèse prix'!Q13</f>
        <v/>
      </c>
    </row>
    <row r="29">
      <c r="A29" t="n">
        <v>36</v>
      </c>
      <c r="B29">
        <f>'Synthèse prix'!A23</f>
        <v/>
      </c>
      <c r="C29" t="inlineStr">
        <is>
          <t>Iso Zero 100% Whey Protéine 2kg</t>
        </is>
      </c>
      <c r="D29" t="inlineStr">
        <is>
          <t>2kg</t>
        </is>
      </c>
      <c r="E29" s="12">
        <f>'Synthèse prix'!H23</f>
        <v/>
      </c>
      <c r="F29" s="12">
        <f>'Synthèse prix'!I23</f>
        <v/>
      </c>
      <c r="G29" s="12">
        <f>'Synthèse prix'!J23</f>
        <v/>
      </c>
      <c r="H29" s="12">
        <f>'Synthèse prix'!N23</f>
        <v/>
      </c>
      <c r="I29" s="12">
        <f>'Synthèse prix'!S23</f>
        <v/>
      </c>
      <c r="J29" s="12">
        <f>'Synthèse prix'!T23</f>
        <v/>
      </c>
      <c r="K29" s="12">
        <f>'Synthèse prix'!U23</f>
        <v/>
      </c>
      <c r="L29" s="12">
        <f>'Synthèse prix'!V23</f>
        <v/>
      </c>
      <c r="M29" s="12">
        <f>'Synthèse prix'!Q23</f>
        <v/>
      </c>
    </row>
    <row r="30">
      <c r="A30" t="n">
        <v>37</v>
      </c>
      <c r="B30">
        <f>'Synthèse prix'!A30</f>
        <v/>
      </c>
      <c r="C30" t="inlineStr">
        <is>
          <t>Pure Isolate Premium 750g</t>
        </is>
      </c>
      <c r="D30" t="inlineStr">
        <is>
          <t>750g</t>
        </is>
      </c>
      <c r="E30" s="12">
        <f>'Synthèse prix'!H30</f>
        <v/>
      </c>
      <c r="F30" s="12">
        <f>'Synthèse prix'!I30</f>
        <v/>
      </c>
      <c r="G30" s="12">
        <f>'Synthèse prix'!J30</f>
        <v/>
      </c>
      <c r="H30" s="12">
        <f>'Synthèse prix'!N30</f>
        <v/>
      </c>
      <c r="I30" s="12">
        <f>'Synthèse prix'!S30</f>
        <v/>
      </c>
      <c r="J30" s="12">
        <f>'Synthèse prix'!T30</f>
        <v/>
      </c>
      <c r="K30" s="12">
        <f>'Synthèse prix'!U30</f>
        <v/>
      </c>
      <c r="L30" s="12">
        <f>'Synthèse prix'!V30</f>
        <v/>
      </c>
      <c r="M30" s="12">
        <f>'Synthèse prix'!Q30</f>
        <v/>
      </c>
    </row>
    <row r="31">
      <c r="A31" t="n">
        <v>39</v>
      </c>
      <c r="B31">
        <f>'Synthèse prix'!A20</f>
        <v/>
      </c>
      <c r="C31" t="inlineStr">
        <is>
          <t>Whey Native 810g</t>
        </is>
      </c>
      <c r="D31" t="inlineStr">
        <is>
          <t>810g</t>
        </is>
      </c>
      <c r="E31" s="12">
        <f>'Synthèse prix'!H20</f>
        <v/>
      </c>
      <c r="F31" s="12">
        <f>'Synthèse prix'!I20</f>
        <v/>
      </c>
      <c r="G31" s="12">
        <f>'Synthèse prix'!J20</f>
        <v/>
      </c>
      <c r="H31" s="12">
        <f>'Synthèse prix'!N20</f>
        <v/>
      </c>
      <c r="I31" s="12">
        <f>'Synthèse prix'!S20</f>
        <v/>
      </c>
      <c r="J31" s="12">
        <f>'Synthèse prix'!T20</f>
        <v/>
      </c>
      <c r="K31" s="12">
        <f>'Synthèse prix'!U20</f>
        <v/>
      </c>
      <c r="L31" s="12">
        <f>'Synthèse prix'!V20</f>
        <v/>
      </c>
      <c r="M31" s="12">
        <f>'Synthèse prix'!Q20</f>
        <v/>
      </c>
    </row>
    <row r="32">
      <c r="A32" s="20" t="n">
        <v>40</v>
      </c>
      <c r="B32" s="20">
        <f>'Synthèse prix'!A2</f>
        <v/>
      </c>
      <c r="C32" s="20" t="inlineStr">
        <is>
          <t>Whey Isolate</t>
        </is>
      </c>
      <c r="D32" s="20" t="inlineStr">
        <is>
          <t>750g</t>
        </is>
      </c>
      <c r="E32" s="20">
        <f>'Synthèse prix'!H2</f>
        <v/>
      </c>
      <c r="F32" s="20">
        <f>'Synthèse prix'!I2</f>
        <v/>
      </c>
      <c r="G32" s="20">
        <f>'Synthèse prix'!J2</f>
        <v/>
      </c>
      <c r="H32" s="20">
        <f>'Synthèse prix'!N2</f>
        <v/>
      </c>
      <c r="I32" s="20">
        <f>'Synthèse prix'!S2</f>
        <v/>
      </c>
      <c r="J32" s="20">
        <f>'Synthèse prix'!T2</f>
        <v/>
      </c>
      <c r="K32" s="20">
        <f>'Synthèse prix'!U2</f>
        <v/>
      </c>
      <c r="L32" s="20">
        <f>'Synthèse prix'!V2</f>
        <v/>
      </c>
      <c r="M32" s="20">
        <f>'Synthèse prix'!Q2</f>
        <v/>
      </c>
    </row>
    <row r="33">
      <c r="A33" s="20" t="n">
        <v>41</v>
      </c>
      <c r="B33" s="20">
        <f>'Synthèse prix'!A3</f>
        <v/>
      </c>
      <c r="C33" s="20" t="inlineStr">
        <is>
          <t>Whey Isolate</t>
        </is>
      </c>
      <c r="D33" s="20" t="inlineStr">
        <is>
          <t>750g</t>
        </is>
      </c>
      <c r="E33" s="20">
        <f>'Synthèse prix'!H3</f>
        <v/>
      </c>
      <c r="F33" s="20">
        <f>'Synthèse prix'!I3</f>
        <v/>
      </c>
      <c r="G33" s="20">
        <f>'Synthèse prix'!J3</f>
        <v/>
      </c>
      <c r="H33" s="20">
        <f>'Synthèse prix'!N3</f>
        <v/>
      </c>
      <c r="I33" s="20">
        <f>'Synthèse prix'!S3</f>
        <v/>
      </c>
      <c r="J33" s="20">
        <f>'Synthèse prix'!T3</f>
        <v/>
      </c>
      <c r="K33" s="20">
        <f>'Synthèse prix'!U3</f>
        <v/>
      </c>
      <c r="L33" s="20">
        <f>'Synthèse prix'!V3</f>
        <v/>
      </c>
      <c r="M33" s="20">
        <f>'Synthèse prix'!Q3</f>
        <v/>
      </c>
    </row>
    <row r="34">
      <c r="A34" t="n">
        <v>43</v>
      </c>
      <c r="B34">
        <f>'Synthèse prix'!A9</f>
        <v/>
      </c>
      <c r="C34" t="inlineStr">
        <is>
          <t>Whey Isolat Native 4kg</t>
        </is>
      </c>
      <c r="D34" t="inlineStr">
        <is>
          <t>4kg</t>
        </is>
      </c>
      <c r="E34" s="12">
        <f>'Synthèse prix'!H9</f>
        <v/>
      </c>
      <c r="F34" s="12">
        <f>'Synthèse prix'!I9</f>
        <v/>
      </c>
      <c r="G34" s="12">
        <f>'Synthèse prix'!J9</f>
        <v/>
      </c>
      <c r="H34" s="12">
        <f>'Synthèse prix'!N9</f>
        <v/>
      </c>
      <c r="I34" s="12">
        <f>'Synthèse prix'!S9</f>
        <v/>
      </c>
      <c r="J34" s="12">
        <f>'Synthèse prix'!T9</f>
        <v/>
      </c>
      <c r="K34" s="12">
        <f>'Synthèse prix'!U9</f>
        <v/>
      </c>
      <c r="L34" s="12">
        <f>'Synthèse prix'!V9</f>
        <v/>
      </c>
      <c r="M34" s="12">
        <f>'Synthèse prix'!Q9</f>
        <v/>
      </c>
    </row>
    <row r="35">
      <c r="A35" t="n">
        <v>44</v>
      </c>
      <c r="B35">
        <f>'Synthèse prix'!A19</f>
        <v/>
      </c>
      <c r="C35" t="inlineStr">
        <is>
          <t>Whey Concentrée Native 900g</t>
        </is>
      </c>
      <c r="D35" t="inlineStr">
        <is>
          <t>900g</t>
        </is>
      </c>
      <c r="E35" s="12">
        <f>'Synthèse prix'!H19</f>
        <v/>
      </c>
      <c r="F35" s="12">
        <f>'Synthèse prix'!I19</f>
        <v/>
      </c>
      <c r="G35" s="12">
        <f>'Synthèse prix'!J19</f>
        <v/>
      </c>
      <c r="H35" s="12">
        <f>'Synthèse prix'!N19</f>
        <v/>
      </c>
      <c r="I35" s="12">
        <f>'Synthèse prix'!S19</f>
        <v/>
      </c>
      <c r="J35" s="12">
        <f>'Synthèse prix'!T19</f>
        <v/>
      </c>
      <c r="K35" s="12">
        <f>'Synthèse prix'!U19</f>
        <v/>
      </c>
      <c r="L35" s="12">
        <f>'Synthèse prix'!V19</f>
        <v/>
      </c>
      <c r="M35" s="12">
        <f>'Synthèse prix'!Q19</f>
        <v/>
      </c>
    </row>
    <row r="36">
      <c r="A36" t="n">
        <v>45</v>
      </c>
      <c r="B36">
        <f>'Synthèse prix'!A51</f>
        <v/>
      </c>
      <c r="C36" t="inlineStr">
        <is>
          <t>100% Pure Whey 2000g</t>
        </is>
      </c>
      <c r="D36" t="inlineStr">
        <is>
          <t>2kg</t>
        </is>
      </c>
      <c r="E36" s="12">
        <f>'Synthèse prix'!H51</f>
        <v/>
      </c>
      <c r="F36" s="12">
        <f>'Synthèse prix'!I51</f>
        <v/>
      </c>
      <c r="G36" s="12">
        <f>'Synthèse prix'!J51</f>
        <v/>
      </c>
      <c r="H36" s="12">
        <f>'Synthèse prix'!N51</f>
        <v/>
      </c>
      <c r="I36" s="12">
        <f>'Synthèse prix'!S51</f>
        <v/>
      </c>
      <c r="J36" s="12">
        <f>'Synthèse prix'!T51</f>
        <v/>
      </c>
      <c r="K36" s="12">
        <f>'Synthèse prix'!U51</f>
        <v/>
      </c>
      <c r="L36" s="12">
        <f>'Synthèse prix'!V51</f>
        <v/>
      </c>
      <c r="M36" s="12">
        <f>'Synthèse prix'!Q51</f>
        <v/>
      </c>
    </row>
    <row r="37">
      <c r="A37" t="n">
        <v>46</v>
      </c>
      <c r="B37">
        <f>'Synthèse prix'!A12</f>
        <v/>
      </c>
      <c r="C37" t="inlineStr">
        <is>
          <t>Whey Native Isolate 2,25kg</t>
        </is>
      </c>
      <c r="D37" t="inlineStr">
        <is>
          <t>2.25kg</t>
        </is>
      </c>
      <c r="E37" s="12">
        <f>'Synthèse prix'!H12</f>
        <v/>
      </c>
      <c r="F37" s="12">
        <f>'Synthèse prix'!I12</f>
        <v/>
      </c>
      <c r="G37" s="12">
        <f>'Synthèse prix'!J12</f>
        <v/>
      </c>
      <c r="H37" s="12">
        <f>'Synthèse prix'!N12</f>
        <v/>
      </c>
      <c r="I37" s="12">
        <f>'Synthèse prix'!S12</f>
        <v/>
      </c>
      <c r="J37" s="12">
        <f>'Synthèse prix'!T12</f>
        <v/>
      </c>
      <c r="K37" s="12">
        <f>'Synthèse prix'!U12</f>
        <v/>
      </c>
      <c r="L37" s="12">
        <f>'Synthèse prix'!V12</f>
        <v/>
      </c>
      <c r="M37" s="12">
        <f>'Synthèse prix'!Q12</f>
        <v/>
      </c>
    </row>
    <row r="38">
      <c r="A38" t="n">
        <v>49</v>
      </c>
      <c r="B38">
        <f>'Synthèse prix'!A22</f>
        <v/>
      </c>
      <c r="C38" t="inlineStr">
        <is>
          <t>Iso Zero 100% Whey Protéine 1,5kg</t>
        </is>
      </c>
      <c r="D38" t="inlineStr">
        <is>
          <t>1.5kg</t>
        </is>
      </c>
      <c r="E38" s="12">
        <f>'Synthèse prix'!H22</f>
        <v/>
      </c>
      <c r="F38" s="12">
        <f>'Synthèse prix'!I22</f>
        <v/>
      </c>
      <c r="G38" s="12">
        <f>'Synthèse prix'!J22</f>
        <v/>
      </c>
      <c r="H38" s="12">
        <f>'Synthèse prix'!N22</f>
        <v/>
      </c>
      <c r="I38" s="12">
        <f>'Synthèse prix'!S22</f>
        <v/>
      </c>
      <c r="J38" s="12">
        <f>'Synthèse prix'!T22</f>
        <v/>
      </c>
      <c r="K38" s="12">
        <f>'Synthèse prix'!U22</f>
        <v/>
      </c>
      <c r="L38" s="12">
        <f>'Synthèse prix'!V22</f>
        <v/>
      </c>
      <c r="M38" s="12">
        <f>'Synthèse prix'!Q22</f>
        <v/>
      </c>
    </row>
    <row r="39">
      <c r="A39" t="n">
        <v>50</v>
      </c>
      <c r="B39">
        <f>'Synthèse prix'!A18</f>
        <v/>
      </c>
      <c r="C39" t="inlineStr">
        <is>
          <t>Whey Isolate Native 900g</t>
        </is>
      </c>
      <c r="D39" t="inlineStr">
        <is>
          <t>900g</t>
        </is>
      </c>
      <c r="E39" s="12">
        <f>'Synthèse prix'!H18</f>
        <v/>
      </c>
      <c r="F39" s="12">
        <f>'Synthèse prix'!I18</f>
        <v/>
      </c>
      <c r="G39" s="12">
        <f>'Synthèse prix'!J18</f>
        <v/>
      </c>
      <c r="H39" s="12">
        <f>'Synthèse prix'!N18</f>
        <v/>
      </c>
      <c r="I39" s="12">
        <f>'Synthèse prix'!S18</f>
        <v/>
      </c>
      <c r="J39" s="12">
        <f>'Synthèse prix'!T18</f>
        <v/>
      </c>
      <c r="K39" s="12">
        <f>'Synthèse prix'!U18</f>
        <v/>
      </c>
      <c r="L39" s="12">
        <f>'Synthèse prix'!V18</f>
        <v/>
      </c>
      <c r="M39" s="12">
        <f>'Synthèse prix'!Q18</f>
        <v/>
      </c>
    </row>
    <row r="40">
      <c r="A40" t="n">
        <v>51</v>
      </c>
      <c r="B40">
        <f>'Synthèse prix'!A48</f>
        <v/>
      </c>
      <c r="C40" t="inlineStr">
        <is>
          <t>Iso Whey Zero 1816g</t>
        </is>
      </c>
      <c r="D40" t="inlineStr">
        <is>
          <t>1.816kg</t>
        </is>
      </c>
      <c r="E40" s="12">
        <f>'Synthèse prix'!H48</f>
        <v/>
      </c>
      <c r="F40" s="12">
        <f>'Synthèse prix'!I48</f>
        <v/>
      </c>
      <c r="G40" s="12">
        <f>'Synthèse prix'!J48</f>
        <v/>
      </c>
      <c r="H40" s="12">
        <f>'Synthèse prix'!N48</f>
        <v/>
      </c>
      <c r="I40" s="12">
        <f>'Synthèse prix'!S48</f>
        <v/>
      </c>
      <c r="J40" s="12">
        <f>'Synthèse prix'!T48</f>
        <v/>
      </c>
      <c r="K40" s="12">
        <f>'Synthèse prix'!U48</f>
        <v/>
      </c>
      <c r="L40" s="12">
        <f>'Synthèse prix'!V48</f>
        <v/>
      </c>
      <c r="M40" s="12">
        <f>'Synthèse prix'!Q48</f>
        <v/>
      </c>
    </row>
    <row r="41">
      <c r="A41" t="n">
        <v>52</v>
      </c>
      <c r="B41">
        <f>'Synthèse prix'!A27</f>
        <v/>
      </c>
      <c r="C41" t="inlineStr">
        <is>
          <t>Iso Fusion Protein Complex 750g</t>
        </is>
      </c>
      <c r="D41" t="inlineStr">
        <is>
          <t>750g</t>
        </is>
      </c>
      <c r="E41" s="12">
        <f>'Synthèse prix'!H27</f>
        <v/>
      </c>
      <c r="F41" s="12">
        <f>'Synthèse prix'!I27</f>
        <v/>
      </c>
      <c r="G41" s="12">
        <f>'Synthèse prix'!J27</f>
        <v/>
      </c>
      <c r="H41" s="12">
        <f>'Synthèse prix'!N27</f>
        <v/>
      </c>
      <c r="I41" s="12">
        <f>'Synthèse prix'!S27</f>
        <v/>
      </c>
      <c r="J41" s="12">
        <f>'Synthèse prix'!T27</f>
        <v/>
      </c>
      <c r="K41" s="12">
        <f>'Synthèse prix'!U27</f>
        <v/>
      </c>
      <c r="L41" s="12">
        <f>'Synthèse prix'!V27</f>
        <v/>
      </c>
      <c r="M41" s="12">
        <f>'Synthèse prix'!Q27</f>
        <v/>
      </c>
    </row>
    <row r="42">
      <c r="A42" t="n">
        <v>53</v>
      </c>
      <c r="B42">
        <f>'Synthèse prix'!A8</f>
        <v/>
      </c>
      <c r="C42" t="inlineStr">
        <is>
          <t>Whey Isolat Native 2kg</t>
        </is>
      </c>
      <c r="D42" t="inlineStr">
        <is>
          <t>2kg</t>
        </is>
      </c>
      <c r="E42" s="12">
        <f>'Synthèse prix'!H8</f>
        <v/>
      </c>
      <c r="F42" s="12">
        <f>'Synthèse prix'!I8</f>
        <v/>
      </c>
      <c r="G42" s="12">
        <f>'Synthèse prix'!J8</f>
        <v/>
      </c>
      <c r="H42" s="12">
        <f>'Synthèse prix'!N8</f>
        <v/>
      </c>
      <c r="I42" s="12">
        <f>'Synthèse prix'!S8</f>
        <v/>
      </c>
      <c r="J42" s="12">
        <f>'Synthèse prix'!T8</f>
        <v/>
      </c>
      <c r="K42" s="12">
        <f>'Synthèse prix'!U8</f>
        <v/>
      </c>
      <c r="L42" s="12">
        <f>'Synthèse prix'!V8</f>
        <v/>
      </c>
      <c r="M42" s="12">
        <f>'Synthèse prix'!Q8</f>
        <v/>
      </c>
    </row>
    <row r="43">
      <c r="A43" t="n">
        <v>54</v>
      </c>
      <c r="B43">
        <f>'Synthèse prix'!A7</f>
        <v/>
      </c>
      <c r="C43" t="inlineStr">
        <is>
          <t>Whey Isolat Native 750g</t>
        </is>
      </c>
      <c r="D43" t="inlineStr">
        <is>
          <t>750g</t>
        </is>
      </c>
      <c r="E43" s="12">
        <f>'Synthèse prix'!H7</f>
        <v/>
      </c>
      <c r="F43" s="12">
        <f>'Synthèse prix'!I7</f>
        <v/>
      </c>
      <c r="G43" s="12">
        <f>'Synthèse prix'!J7</f>
        <v/>
      </c>
      <c r="H43" s="12">
        <f>'Synthèse prix'!N7</f>
        <v/>
      </c>
      <c r="I43" s="12">
        <f>'Synthèse prix'!S7</f>
        <v/>
      </c>
      <c r="J43" s="12">
        <f>'Synthèse prix'!T7</f>
        <v/>
      </c>
      <c r="K43" s="12">
        <f>'Synthèse prix'!U7</f>
        <v/>
      </c>
      <c r="L43" s="12">
        <f>'Synthèse prix'!V7</f>
        <v/>
      </c>
      <c r="M43" s="12">
        <f>'Synthèse prix'!Q7</f>
        <v/>
      </c>
    </row>
    <row r="44">
      <c r="A44" t="n">
        <v>55</v>
      </c>
      <c r="B44">
        <f>'Synthèse prix'!A11</f>
        <v/>
      </c>
      <c r="C44" t="inlineStr">
        <is>
          <t>Whey Native Isolate</t>
        </is>
      </c>
      <c r="D44" t="inlineStr">
        <is>
          <t>1kg</t>
        </is>
      </c>
      <c r="E44" s="12">
        <f>'Synthèse prix'!H11</f>
        <v/>
      </c>
      <c r="F44" s="12">
        <f>'Synthèse prix'!I11</f>
        <v/>
      </c>
      <c r="G44" s="12">
        <f>'Synthèse prix'!J11</f>
        <v/>
      </c>
      <c r="H44" s="12">
        <f>'Synthèse prix'!N11</f>
        <v/>
      </c>
      <c r="I44" s="12">
        <f>'Synthèse prix'!S11</f>
        <v/>
      </c>
      <c r="J44" s="12">
        <f>'Synthèse prix'!T11</f>
        <v/>
      </c>
      <c r="K44" s="12">
        <f>'Synthèse prix'!U11</f>
        <v/>
      </c>
      <c r="L44" s="12">
        <f>'Synthèse prix'!V11</f>
        <v/>
      </c>
      <c r="M44" s="12">
        <f>'Synthèse prix'!Q11</f>
        <v/>
      </c>
    </row>
    <row r="45">
      <c r="A45" t="n">
        <v>56</v>
      </c>
      <c r="B45">
        <f>'Synthèse prix'!A50</f>
        <v/>
      </c>
      <c r="C45" t="inlineStr">
        <is>
          <t>100% Pure Whey 1000g</t>
        </is>
      </c>
      <c r="D45" t="inlineStr">
        <is>
          <t>1kg</t>
        </is>
      </c>
      <c r="E45" s="12">
        <f>'Synthèse prix'!H50</f>
        <v/>
      </c>
      <c r="F45" s="12">
        <f>'Synthèse prix'!I50</f>
        <v/>
      </c>
      <c r="G45" s="12">
        <f>'Synthèse prix'!J50</f>
        <v/>
      </c>
      <c r="H45" s="12">
        <f>'Synthèse prix'!N50</f>
        <v/>
      </c>
      <c r="I45" s="12">
        <f>'Synthèse prix'!S50</f>
        <v/>
      </c>
      <c r="J45" s="12">
        <f>'Synthèse prix'!T50</f>
        <v/>
      </c>
      <c r="K45" s="12">
        <f>'Synthèse prix'!U50</f>
        <v/>
      </c>
      <c r="L45" s="12">
        <f>'Synthèse prix'!V50</f>
        <v/>
      </c>
      <c r="M45" s="12">
        <f>'Synthèse prix'!Q50</f>
        <v/>
      </c>
    </row>
    <row r="46">
      <c r="A46" t="n">
        <v>57</v>
      </c>
      <c r="B46">
        <f>'Synthèse prix'!A10</f>
        <v/>
      </c>
      <c r="C46" t="inlineStr">
        <is>
          <t>Whey Native Isolate 500g</t>
        </is>
      </c>
      <c r="D46" t="inlineStr">
        <is>
          <t>500g</t>
        </is>
      </c>
      <c r="E46" s="12">
        <f>'Synthèse prix'!H10</f>
        <v/>
      </c>
      <c r="F46" s="12">
        <f>'Synthèse prix'!I10</f>
        <v/>
      </c>
      <c r="G46" s="12">
        <f>'Synthèse prix'!J10</f>
        <v/>
      </c>
      <c r="H46" s="12">
        <f>'Synthèse prix'!N10</f>
        <v/>
      </c>
      <c r="I46" s="12">
        <f>'Synthèse prix'!S10</f>
        <v/>
      </c>
      <c r="J46" s="12">
        <f>'Synthèse prix'!T10</f>
        <v/>
      </c>
      <c r="K46" s="12">
        <f>'Synthèse prix'!U10</f>
        <v/>
      </c>
      <c r="L46" s="12">
        <f>'Synthèse prix'!V10</f>
        <v/>
      </c>
      <c r="M46" s="12">
        <f>'Synthèse prix'!Q10</f>
        <v/>
      </c>
    </row>
    <row r="47">
      <c r="A47" t="n">
        <v>58</v>
      </c>
      <c r="B47">
        <f>'Synthèse prix'!A21</f>
        <v/>
      </c>
      <c r="C47" t="inlineStr">
        <is>
          <t>Iso Zero 100% Whey Protéine 500g</t>
        </is>
      </c>
      <c r="D47" t="inlineStr">
        <is>
          <t>500g</t>
        </is>
      </c>
      <c r="E47" s="12">
        <f>'Synthèse prix'!H21</f>
        <v/>
      </c>
      <c r="F47" s="12">
        <f>'Synthèse prix'!I21</f>
        <v/>
      </c>
      <c r="G47" s="12">
        <f>'Synthèse prix'!J21</f>
        <v/>
      </c>
      <c r="H47" s="12">
        <f>'Synthèse prix'!N21</f>
        <v/>
      </c>
      <c r="I47" s="12">
        <f>'Synthèse prix'!S21</f>
        <v/>
      </c>
      <c r="J47" s="12">
        <f>'Synthèse prix'!T21</f>
        <v/>
      </c>
      <c r="K47" s="12">
        <f>'Synthèse prix'!U21</f>
        <v/>
      </c>
      <c r="L47" s="12">
        <f>'Synthèse prix'!V21</f>
        <v/>
      </c>
      <c r="M47" s="12">
        <f>'Synthèse prix'!Q21</f>
        <v/>
      </c>
    </row>
    <row r="48">
      <c r="A48" t="n">
        <v>59</v>
      </c>
      <c r="B48">
        <f>'Synthèse prix'!A24</f>
        <v/>
      </c>
      <c r="C48" t="inlineStr">
        <is>
          <t>Whey Optimax Protein 500g</t>
        </is>
      </c>
      <c r="D48" t="inlineStr">
        <is>
          <t>500g</t>
        </is>
      </c>
      <c r="E48" s="12">
        <f>'Synthèse prix'!H24</f>
        <v/>
      </c>
      <c r="F48" s="12">
        <f>'Synthèse prix'!I24</f>
        <v/>
      </c>
      <c r="G48" s="12">
        <f>'Synthèse prix'!J24</f>
        <v/>
      </c>
      <c r="H48" s="12">
        <f>'Synthèse prix'!N24</f>
        <v/>
      </c>
      <c r="I48" s="12">
        <f>'Synthèse prix'!S24</f>
        <v/>
      </c>
      <c r="J48" s="12">
        <f>'Synthèse prix'!T24</f>
        <v/>
      </c>
      <c r="K48" s="12">
        <f>'Synthèse prix'!U24</f>
        <v/>
      </c>
      <c r="L48" s="12">
        <f>'Synthèse prix'!V24</f>
        <v/>
      </c>
      <c r="M48" s="12">
        <f>'Synthèse prix'!Q24</f>
        <v/>
      </c>
    </row>
    <row r="49">
      <c r="A49" t="n">
        <v>60</v>
      </c>
      <c r="B49">
        <f>'Synthèse prix'!A47</f>
        <v/>
      </c>
      <c r="C49" t="inlineStr">
        <is>
          <t>Iso Whey Zero 908g</t>
        </is>
      </c>
      <c r="D49" t="inlineStr">
        <is>
          <t>908g</t>
        </is>
      </c>
      <c r="E49" s="12">
        <f>'Synthèse prix'!H47</f>
        <v/>
      </c>
      <c r="F49" s="12">
        <f>'Synthèse prix'!I47</f>
        <v/>
      </c>
      <c r="G49" s="12">
        <f>'Synthèse prix'!J47</f>
        <v/>
      </c>
      <c r="H49" s="12">
        <f>'Synthèse prix'!N47</f>
        <v/>
      </c>
      <c r="I49" s="12">
        <f>'Synthèse prix'!S47</f>
        <v/>
      </c>
      <c r="J49" s="12">
        <f>'Synthèse prix'!T47</f>
        <v/>
      </c>
      <c r="K49" s="12">
        <f>'Synthèse prix'!U47</f>
        <v/>
      </c>
      <c r="L49" s="12">
        <f>'Synthèse prix'!V47</f>
        <v/>
      </c>
      <c r="M49" s="12">
        <f>'Synthèse prix'!Q47</f>
        <v/>
      </c>
    </row>
    <row r="50">
      <c r="A50" t="n">
        <v>61</v>
      </c>
      <c r="B50">
        <f>'Synthèse prix'!A49</f>
        <v/>
      </c>
      <c r="C50" t="inlineStr">
        <is>
          <t>100% Pure Whey 400g</t>
        </is>
      </c>
      <c r="D50" t="inlineStr">
        <is>
          <t>400g</t>
        </is>
      </c>
      <c r="E50" s="12">
        <f>'Synthèse prix'!H49</f>
        <v/>
      </c>
      <c r="F50" s="12">
        <f>'Synthèse prix'!I49</f>
        <v/>
      </c>
      <c r="G50" s="12">
        <f>'Synthèse prix'!J49</f>
        <v/>
      </c>
      <c r="H50" s="12">
        <f>'Synthèse prix'!N49</f>
        <v/>
      </c>
      <c r="I50" s="12">
        <f>'Synthèse prix'!S49</f>
        <v/>
      </c>
      <c r="J50" s="12">
        <f>'Synthèse prix'!T49</f>
        <v/>
      </c>
      <c r="K50" s="12">
        <f>'Synthèse prix'!U49</f>
        <v/>
      </c>
      <c r="L50" s="12">
        <f>'Synthèse prix'!V49</f>
        <v/>
      </c>
      <c r="M50" s="12">
        <f>'Synthèse prix'!Q49</f>
        <v/>
      </c>
    </row>
    <row r="51">
      <c r="A51" s="20" t="n">
        <v>62</v>
      </c>
      <c r="B51" s="20">
        <f>'Synthèse prix'!A5</f>
        <v/>
      </c>
      <c r="C51" s="20" t="inlineStr">
        <is>
          <t>Whey Recovery</t>
        </is>
      </c>
      <c r="D51" s="20" t="inlineStr">
        <is>
          <t>525g</t>
        </is>
      </c>
      <c r="E51" s="20">
        <f>'Synthèse prix'!H5</f>
        <v/>
      </c>
      <c r="F51" s="20">
        <f>'Synthèse prix'!I5</f>
        <v/>
      </c>
      <c r="G51" s="20">
        <f>'Synthèse prix'!J5</f>
        <v/>
      </c>
      <c r="H51" s="20">
        <f>'Synthèse prix'!N5</f>
        <v/>
      </c>
      <c r="I51" s="20">
        <f>'Synthèse prix'!S5</f>
        <v/>
      </c>
      <c r="J51" s="20">
        <f>'Synthèse prix'!T5</f>
        <v/>
      </c>
      <c r="K51" s="20">
        <f>'Synthèse prix'!U5</f>
        <v/>
      </c>
      <c r="L51" s="20">
        <f>'Synthèse prix'!V5</f>
        <v/>
      </c>
      <c r="M51" s="20">
        <f>'Synthèse prix'!Q5</f>
        <v/>
      </c>
    </row>
    <row r="52">
      <c r="A52" s="20" t="n">
        <v>63</v>
      </c>
      <c r="B52" s="20">
        <f>'Synthèse prix'!A6</f>
        <v/>
      </c>
      <c r="C52" s="20" t="inlineStr">
        <is>
          <t>Whey Recovery</t>
        </is>
      </c>
      <c r="D52" s="20" t="inlineStr">
        <is>
          <t>525g</t>
        </is>
      </c>
      <c r="E52" s="20">
        <f>'Synthèse prix'!H6</f>
        <v/>
      </c>
      <c r="F52" s="20">
        <f>'Synthèse prix'!I6</f>
        <v/>
      </c>
      <c r="G52" s="20">
        <f>'Synthèse prix'!J6</f>
        <v/>
      </c>
      <c r="H52" s="20">
        <f>'Synthèse prix'!N6</f>
        <v/>
      </c>
      <c r="I52" s="20">
        <f>'Synthèse prix'!S6</f>
        <v/>
      </c>
      <c r="J52" s="20">
        <f>'Synthèse prix'!T6</f>
        <v/>
      </c>
      <c r="K52" s="20">
        <f>'Synthèse prix'!U6</f>
        <v/>
      </c>
      <c r="L52" s="20">
        <f>'Synthèse prix'!V6</f>
        <v/>
      </c>
      <c r="M52" s="20">
        <f>'Synthèse prix'!Q6</f>
        <v/>
      </c>
    </row>
  </sheetData>
  <mergeCells count="1">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12"/>
  <sheetViews>
    <sheetView workbookViewId="0">
      <selection activeCell="B2" sqref="B2:F12"/>
    </sheetView>
  </sheetViews>
  <sheetFormatPr baseColWidth="10" defaultRowHeight="14.5"/>
  <sheetData>
    <row r="2" ht="21" customHeight="1" s="24">
      <c r="B2" s="219" t="inlineStr">
        <is>
          <t>Structure de prix</t>
        </is>
      </c>
      <c r="C2" s="144" t="inlineStr">
        <is>
          <t>Whey Concentrat</t>
        </is>
      </c>
      <c r="D2" s="144" t="inlineStr">
        <is>
          <t>Whey Concentrat</t>
        </is>
      </c>
      <c r="E2" s="146" t="inlineStr">
        <is>
          <t>Whey Isolat</t>
        </is>
      </c>
      <c r="F2" s="146" t="inlineStr">
        <is>
          <t>Whey Isolat</t>
        </is>
      </c>
    </row>
    <row r="3">
      <c r="B3" s="220" t="n"/>
      <c r="C3" s="145" t="inlineStr">
        <is>
          <t>Option 1</t>
        </is>
      </c>
      <c r="D3" s="145" t="inlineStr">
        <is>
          <t>Option 2</t>
        </is>
      </c>
      <c r="E3" s="147" t="inlineStr">
        <is>
          <t>Actuellement</t>
        </is>
      </c>
      <c r="F3" s="147" t="inlineStr">
        <is>
          <t>Demain</t>
        </is>
      </c>
    </row>
    <row r="4">
      <c r="B4" s="148" t="inlineStr">
        <is>
          <t>PPTTC</t>
        </is>
      </c>
      <c r="C4" s="221" t="n">
        <v>36.9</v>
      </c>
      <c r="D4" s="221" t="n">
        <v>39.9</v>
      </c>
      <c r="E4" s="221" t="n">
        <v>39.9</v>
      </c>
      <c r="F4" s="221" t="n">
        <v>49.9</v>
      </c>
    </row>
    <row r="5">
      <c r="B5" s="148" t="inlineStr">
        <is>
          <t>TVA</t>
        </is>
      </c>
      <c r="C5" s="150" t="n">
        <v>0.2</v>
      </c>
      <c r="D5" s="150" t="n">
        <v>0.055</v>
      </c>
      <c r="E5" s="150" t="n">
        <v>0.055</v>
      </c>
      <c r="F5" s="150" t="n">
        <v>0.055</v>
      </c>
    </row>
    <row r="6">
      <c r="B6" s="148" t="inlineStr">
        <is>
          <t>PPHT</t>
        </is>
      </c>
      <c r="C6" s="222" t="n">
        <v>30.75</v>
      </c>
      <c r="D6" s="222" t="n">
        <v>37.82</v>
      </c>
      <c r="E6" s="222" t="n">
        <v>37.82</v>
      </c>
      <c r="F6" s="222" t="n">
        <v>47.3</v>
      </c>
    </row>
    <row r="7">
      <c r="B7" s="148" t="inlineStr">
        <is>
          <t>Tarif</t>
        </is>
      </c>
      <c r="C7" s="222" t="n">
        <v>36.9</v>
      </c>
      <c r="D7" s="222" t="n">
        <v>39.9</v>
      </c>
      <c r="E7" s="222" t="n">
        <v>39.9</v>
      </c>
      <c r="F7" s="222" t="n">
        <v>49.9</v>
      </c>
    </row>
    <row r="8">
      <c r="B8" s="148" t="inlineStr">
        <is>
          <t>Taux de remise complet</t>
        </is>
      </c>
      <c r="C8" s="152" t="n">
        <v>0.18</v>
      </c>
      <c r="D8" s="152" t="n">
        <v>0.18</v>
      </c>
      <c r="E8" s="152" t="n">
        <v>0.18</v>
      </c>
      <c r="F8" s="152" t="n">
        <v>0.18</v>
      </c>
    </row>
    <row r="9">
      <c r="B9" s="148" t="inlineStr">
        <is>
          <t>PVM net</t>
        </is>
      </c>
      <c r="C9" s="222" t="n">
        <v>30.26</v>
      </c>
      <c r="D9" s="222" t="n">
        <v>32.72</v>
      </c>
      <c r="E9" s="222" t="n">
        <v>32.72</v>
      </c>
      <c r="F9" s="222" t="n">
        <v>40.92</v>
      </c>
    </row>
    <row r="10">
      <c r="B10" s="148" t="inlineStr">
        <is>
          <t xml:space="preserve">PR </t>
        </is>
      </c>
      <c r="C10" s="221" t="n">
        <v>21</v>
      </c>
      <c r="D10" s="221" t="n">
        <v>21</v>
      </c>
      <c r="E10" s="221" t="n">
        <v>25</v>
      </c>
      <c r="F10" s="221" t="n">
        <v>25</v>
      </c>
    </row>
    <row r="11">
      <c r="B11" s="148" t="inlineStr">
        <is>
          <t>Marge nette unitaire</t>
        </is>
      </c>
      <c r="C11" s="222" t="n">
        <v>9.26</v>
      </c>
      <c r="D11" s="222" t="n">
        <v>11.72</v>
      </c>
      <c r="E11" s="222" t="n">
        <v>7.72</v>
      </c>
      <c r="F11" s="222" t="n">
        <v>15.92</v>
      </c>
    </row>
    <row r="12">
      <c r="B12" s="148" t="inlineStr">
        <is>
          <t>% marge nette</t>
        </is>
      </c>
      <c r="C12" s="152" t="n">
        <v>0.31</v>
      </c>
      <c r="D12" s="152" t="n">
        <v>0.36</v>
      </c>
      <c r="E12" s="152" t="n">
        <v>0.24</v>
      </c>
      <c r="F12" s="152" t="n">
        <v>0.39</v>
      </c>
    </row>
  </sheetData>
  <mergeCells count="1">
    <mergeCell ref="B2:B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2026-04-14T09:46:31Z</dcterms:created>
  <dcterms:modified xmlns:dcterms="http://purl.org/dc/terms/" xmlns:xsi="http://www.w3.org/2001/XMLSchema-instance" xsi:type="dcterms:W3CDTF">2026-04-14T18:22:38Z</dcterms:modified>
  <cp:lastModifiedBy>Chloé Carrie</cp:lastModifiedBy>
</cp:coreProperties>
</file>